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1 – HLD" sheetId="1" state="visible" r:id="rId3"/>
    <sheet name="Phase 1 – LLD" sheetId="2" state="visible" r:id="rId4"/>
    <sheet name="Phase 1 – Sprint Planning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<sst xmlns="http://schemas.openxmlformats.org/spreadsheetml/2006/main" count="584" uniqueCount="406">
  <si>
    <t xml:space="preserve">PHASE 1 – HIGH LEVEL DESIGN (HLD)</t>
  </si>
  <si>
    <t xml:space="preserve">#</t>
  </si>
  <si>
    <t xml:space="preserve">Component</t>
  </si>
  <si>
    <t xml:space="preserve">Type</t>
  </si>
  <si>
    <t xml:space="preserve">Responsibility</t>
  </si>
  <si>
    <t xml:space="preserve">Inputs</t>
  </si>
  <si>
    <t xml:space="preserve">Outputs</t>
  </si>
  <si>
    <t xml:space="preserve">Tech Stack</t>
  </si>
  <si>
    <t xml:space="preserve">Notes / Dependencies</t>
  </si>
  <si>
    <t xml:space="preserve">Deployed On</t>
  </si>
  <si>
    <t xml:space="preserve">Phase</t>
  </si>
  <si>
    <t xml:space="preserve">Status</t>
  </si>
  <si>
    <t xml:space="preserve">React UI</t>
  </si>
  <si>
    <t xml:space="preserve">Frontend</t>
  </si>
  <si>
    <t xml:space="preserve">Web app used by QA Engineer to upload project documents (PDFs, Swagger, .env files, URLs), trigger ingestion, and poll for status updates.</t>
  </si>
  <si>
    <t xml:space="preserve">User actions; file uploads; polling calls</t>
  </si>
  <si>
    <t xml:space="preserve">Uploads sent to FastAPI; polls Project ID for status</t>
  </si>
  <si>
    <t xml:space="preserve">React.js, Axios, TailwindCSS</t>
  </si>
  <si>
    <t xml:space="preserve">Communicates with FastAPI via REST. Hosts upload form and status indicator.</t>
  </si>
  <si>
    <t xml:space="preserve">Client Browser</t>
  </si>
  <si>
    <t xml:space="preserve">Phase 1</t>
  </si>
  <si>
    <t xml:space="preserve">Planned</t>
  </si>
  <si>
    <t xml:space="preserve">FastAPI Backend</t>
  </si>
  <si>
    <t xml:space="preserve">Backend / Orchestrator</t>
  </si>
  <si>
    <t xml:space="preserve">Central hub that receives REST requests from React UI, performs synchronous validation (liveness + credential check), initialises project record in DB, and triggers Temporal workflow.</t>
  </si>
  <si>
    <t xml:space="preserve">REST calls from React UI; uploaded files</t>
  </si>
  <si>
    <t xml:space="preserve">Project ID returned to UI; Project record in PostgreSQL; Temporal workflow triggered</t>
  </si>
  <si>
    <t xml:space="preserve">Python, FastAPI, SQLAlchemy, Prance (Swagger parser)</t>
  </si>
  <si>
    <t xml:space="preserve">Deployed on Azure Ubuntu VM. Manages sync validation phase and async handoff.</t>
  </si>
  <si>
    <t xml:space="preserve">Azure Ubuntu VM</t>
  </si>
  <si>
    <t xml:space="preserve">Temporal Orchestrator</t>
  </si>
  <si>
    <t xml:space="preserve">Workflow Engine</t>
  </si>
  <si>
    <t xml:space="preserve">Durable execution engine that runs the async ingestion pipeline. Retries failed steps, maintains workflow state, and sequences all ingestion activities.</t>
  </si>
  <si>
    <t xml:space="preserve">Trigger signal from FastAPI with project metadata</t>
  </si>
  <si>
    <t xml:space="preserve">Coordinated execution of ingestion steps; activity results</t>
  </si>
  <si>
    <t xml:space="preserve">Temporal (self-hosted or Temporal Cloud), Python SDK</t>
  </si>
  <si>
    <t xml:space="preserve">Handles all async steps after sync validation. Ensures fault-tolerant execution.</t>
  </si>
  <si>
    <t xml:space="preserve">Azure Blob Storage</t>
  </si>
  <si>
    <t xml:space="preserve">Cloud Storage</t>
  </si>
  <si>
    <t xml:space="preserve">Stores raw uploaded files (PDFs, Swagger specs) offloaded from the FastAPI backend during ingestion. Acts as durable file store for large binary content.</t>
  </si>
  <si>
    <t xml:space="preserve">Raw PDFs and Swagger files from Temporal activity</t>
  </si>
  <si>
    <t xml:space="preserve">Stored file references (URLs/paths) for downstream steps</t>
  </si>
  <si>
    <t xml:space="preserve">Azure Blob Storage SDK (Python)</t>
  </si>
  <si>
    <t xml:space="preserve">Files are routed here before text extraction. Offloads heavy file storage from VM disk.</t>
  </si>
  <si>
    <t xml:space="preserve">Azure Managed Service</t>
  </si>
  <si>
    <t xml:space="preserve">Azure PostgreSQL</t>
  </si>
  <si>
    <t xml:space="preserve">Relational Database</t>
  </si>
  <si>
    <t xml:space="preserve">Stores all structured project metadata: project records, ingestion status, extracted text snippets, flattened Swagger endpoints. Single source of truth for project state.</t>
  </si>
  <si>
    <t xml:space="preserve">Project records from FastAPI; extracted text from Temporal; API endpoints</t>
  </si>
  <si>
    <t xml:space="preserve">Queryable project and document data</t>
  </si>
  <si>
    <t xml:space="preserve">PostgreSQL, SQLAlchemy ORM, Alembic (migrations)</t>
  </si>
  <si>
    <t xml:space="preserve">Stores status field updated throughout pipeline. Phase 2 reads Scenarios/Tasks from here.</t>
  </si>
  <si>
    <t xml:space="preserve">PyMuPDF (Text Extraction)</t>
  </si>
  <si>
    <t xml:space="preserve">Processing Library</t>
  </si>
  <si>
    <t xml:space="preserve">Extracts raw text content from uploaded PDF documents. Runs inside a Temporal activity on the FastAPI backend VM.</t>
  </si>
  <si>
    <t xml:space="preserve">PDF file (from Blob Storage reference)</t>
  </si>
  <si>
    <t xml:space="preserve">Extracted raw text string per PDF</t>
  </si>
  <si>
    <t xml:space="preserve">PyMuPDF (fitz), Python</t>
  </si>
  <si>
    <t xml:space="preserve">Text extraction activity invoked by Temporal. Output saved to PostgreSQL.</t>
  </si>
  <si>
    <t xml:space="preserve">Prance (Swagger Parser)</t>
  </si>
  <si>
    <t xml:space="preserve">Parses and resolves Swagger / OpenAPI specification files. Flattens all API endpoint definitions for storage and downstream vector embedding.</t>
  </si>
  <si>
    <t xml:space="preserve">Swagger/OpenAPI YAML or JSON file</t>
  </si>
  <si>
    <t xml:space="preserve">Flattened list of API endpoint objects (method, path, description, params)</t>
  </si>
  <si>
    <t xml:space="preserve">Prance, Python</t>
  </si>
  <si>
    <t xml:space="preserve">Runs as a Temporal activity. Output stored in PostgreSQL as structured endpoint rows.</t>
  </si>
  <si>
    <t xml:space="preserve">Sliding Window Chunker</t>
  </si>
  <si>
    <t xml:space="preserve">Processing Utility</t>
  </si>
  <si>
    <t xml:space="preserve">Splits extracted text documents into overlapping chunks suitable for embedding. Uses sliding window strategy to preserve context at chunk boundaries.</t>
  </si>
  <si>
    <t xml:space="preserve">Extracted text from PostgreSQL</t>
  </si>
  <si>
    <t xml:space="preserve">List of text chunks with metadata (doc_id, chunk_index, offset)</t>
  </si>
  <si>
    <t xml:space="preserve">Python (custom utility / LangChain text splitter)</t>
  </si>
  <si>
    <t xml:space="preserve">Chunk size and overlap configurable. Feeds directly into embedding generation.</t>
  </si>
  <si>
    <t xml:space="preserve">Local Embedding Model
(all-MiniLM-L6-v2)</t>
  </si>
  <si>
    <t xml:space="preserve">AI / ML Model</t>
  </si>
  <si>
    <t xml:space="preserve">Generates dense vector embeddings for each text chunk. Runs locally on the Azure VM to avoid external API costs and latency.</t>
  </si>
  <si>
    <t xml:space="preserve">Text chunks from Sliding Window Chunker</t>
  </si>
  <si>
    <t xml:space="preserve">384-dimensional vector per chunk</t>
  </si>
  <si>
    <t xml:space="preserve">sentence-transformers, all-MiniLM-L6-v2, Python</t>
  </si>
  <si>
    <t xml:space="preserve">Model loaded once and cached. Self-loop on FastAPI Backend indicates local execution.</t>
  </si>
  <si>
    <t xml:space="preserve">Qdrant Vector DB</t>
  </si>
  <si>
    <t xml:space="preserve">Vector Store</t>
  </si>
  <si>
    <t xml:space="preserve">Stores and indexes all vector embeddings generated from ingested documents. Supports SHA-256 based deduplication on upsert. Queried by Phase 2 agents via MCP.</t>
  </si>
  <si>
    <t xml:space="preserve">Vector embeddings + chunk metadata from embedding model</t>
  </si>
  <si>
    <t xml:space="preserve">Top-K similar chunks on query; deduplication on upsert</t>
  </si>
  <si>
    <t xml:space="preserve">Qdrant (Docker container on Azure VM)</t>
  </si>
  <si>
    <t xml:space="preserve">SHA-256 hash of chunk text used as point ID for deduplication. Read-only for Phase 2.</t>
  </si>
  <si>
    <t xml:space="preserve">Azure Ubuntu VM (Docker)</t>
  </si>
  <si>
    <t xml:space="preserve">PHASE 1 – LOW LEVEL DESIGN (LLD)</t>
  </si>
  <si>
    <t xml:space="preserve">Module</t>
  </si>
  <si>
    <t xml:space="preserve">Sub-Component / Function</t>
  </si>
  <si>
    <t xml:space="preserve">Description</t>
  </si>
  <si>
    <t xml:space="preserve">Input</t>
  </si>
  <si>
    <t xml:space="preserve">Output / Return</t>
  </si>
  <si>
    <t xml:space="preserve">DB Tables Affected</t>
  </si>
  <si>
    <t xml:space="preserve">API Endpoint</t>
  </si>
  <si>
    <t xml:space="preserve">Error Handling</t>
  </si>
  <si>
    <t xml:space="preserve">Notes</t>
  </si>
  <si>
    <t xml:space="preserve">UploadProjectForm</t>
  </si>
  <si>
    <t xml:space="preserve">Form component allowing QA Engineer to upload PDFs, Swagger file, .env file, and enter a target URL. Submits multipart/form-data POST to /api/v1/projects.</t>
  </si>
  <si>
    <t xml:space="preserve">User file inputs, URL text field</t>
  </si>
  <si>
    <t xml:space="preserve">POST /api/v1/projects called; receives Project ID; begins polling</t>
  </si>
  <si>
    <t xml:space="preserve">Projects (WRITE via backend)</t>
  </si>
  <si>
    <t xml:space="preserve">POST /api/v1/projects</t>
  </si>
  <si>
    <t xml:space="preserve">Show validation error if no files attached; show network error toast on 5xx</t>
  </si>
  <si>
    <t xml:space="preserve">Disables submit button while upload in progress. Switches to polling view on success.</t>
  </si>
  <si>
    <t xml:space="preserve">StatusPoller</t>
  </si>
  <si>
    <t xml:space="preserve">After receiving Project ID, polls GET /api/v1/projects/{id} every 3 seconds. Updates status indicator chip. Stops polling when status = 'Ingestion Complete' or error.</t>
  </si>
  <si>
    <t xml:space="preserve">Project ID from upload response</t>
  </si>
  <si>
    <t xml:space="preserve">Live status displayed to user</t>
  </si>
  <si>
    <t xml:space="preserve">Projects (READ)</t>
  </si>
  <si>
    <t xml:space="preserve">GET /api/v1/projects/{project_id}</t>
  </si>
  <si>
    <t xml:space="preserve">Show error state if polling returns 404 or 500; exponential backoff after 5 failures</t>
  </si>
  <si>
    <t xml:space="preserve">Status values: Pending → Processing → Ingestion Complete / Failed</t>
  </si>
  <si>
    <t xml:space="preserve">FastAPI</t>
  </si>
  <si>
    <t xml:space="preserve">Receives multipart upload. Validates files present and credentials reachable (liveness ping). Initialises Project record in DB with status='Pending'. Triggers Temporal workflow. Returns Project ID immediately (202).</t>
  </si>
  <si>
    <t xml:space="preserve">Multipart: PDFs, Swagger, .env, URL string</t>
  </si>
  <si>
    <t xml:space="preserve">project_id: UUID, status: 'Pending'</t>
  </si>
  <si>
    <t xml:space="preserve">Projects (WRITE)</t>
  </si>
  <si>
    <t xml:space="preserve">400 if required files missing; 503 if liveness ping fails; 500 on DB write error</t>
  </si>
  <si>
    <t xml:space="preserve">Uses FastAPI BackgroundTasks to trigger Temporal non-blocking. Returns 202 Accepted.</t>
  </si>
  <si>
    <t xml:space="preserve">Liveness Ping &amp; Credential Check</t>
  </si>
  <si>
    <t xml:space="preserve">Before initialising project record, FastAPI pings itself (health check) and validates any credentials provided in .env (e.g. API keys, DB connection). Synchronous gate.</t>
  </si>
  <si>
    <t xml:space="preserve">.env file content parsed as key-value pairs</t>
  </si>
  <si>
    <t xml:space="preserve">Pass / Fail signal</t>
  </si>
  <si>
    <t xml:space="preserve">None</t>
  </si>
  <si>
    <t xml:space="preserve">Internal (called within POST /api/v1/projects handler)</t>
  </si>
  <si>
    <t xml:space="preserve">Return 503 with message if liveness fails; 401 if credentials invalid</t>
  </si>
  <si>
    <t xml:space="preserve">Keeps synchronous phase fast. Only basic reachability checked, not deep validation.</t>
  </si>
  <si>
    <t xml:space="preserve">GET /api/v1/projects/{id}</t>
  </si>
  <si>
    <t xml:space="preserve">Returns current project metadata and ingestion status. Called repeatedly by React UI poller.</t>
  </si>
  <si>
    <t xml:space="preserve">project_id: UUID (path param)</t>
  </si>
  <si>
    <t xml:space="preserve">Project object: id, status, created_at, updated_at</t>
  </si>
  <si>
    <t xml:space="preserve">404 if project not found; 500 if DB unreachable</t>
  </si>
  <si>
    <t xml:space="preserve">Status field updated by Temporal activities as pipeline progresses.</t>
  </si>
  <si>
    <t xml:space="preserve">PostgreSQL</t>
  </si>
  <si>
    <t xml:space="preserve">Table: Projects</t>
  </si>
  <si>
    <t xml:space="preserve">Stores top-level project records created on upload. Tracks overall ingestion status and links to uploaded files.</t>
  </si>
  <si>
    <t xml:space="preserve">FastAPI insert on project creation; Temporal status updates</t>
  </si>
  <si>
    <t xml:space="preserve">Project rows queryable by React UI</t>
  </si>
  <si>
    <t xml:space="preserve">Projects</t>
  </si>
  <si>
    <t xml:space="preserve">GET, POST /api/v1/projects</t>
  </si>
  <si>
    <t xml:space="preserve">ProjectID PK unique constraint; Status enum constraint</t>
  </si>
  <si>
    <t xml:space="preserve">ProjectID: UUID PK | ProjectName: VARCHAR | Status: VARCHAR | CreatedAt: TIMESTAMP | UpdatedAt: TIMESTAMP</t>
  </si>
  <si>
    <t xml:space="preserve">Table: Documents</t>
  </si>
  <si>
    <t xml:space="preserve">Stores extracted text and file references for each uploaded document linked to a project.</t>
  </si>
  <si>
    <t xml:space="preserve">Temporal activity writes after extraction</t>
  </si>
  <si>
    <t xml:space="preserve">Document rows with raw text and blob path</t>
  </si>
  <si>
    <t xml:space="preserve">Documents</t>
  </si>
  <si>
    <t xml:space="preserve">Internal (Temporal writes directly via SQLAlchemy)</t>
  </si>
  <si>
    <t xml:space="preserve">FK constraint on ProjectID → Projects; handle duplicate file uploads gracefully</t>
  </si>
  <si>
    <t xml:space="preserve">DocID: UUID PK | ProjectID: UUID FK | DocType: VARCHAR | BlobPath: VARCHAR | ExtractedText: TEXT | CreatedAt: TIMESTAMP</t>
  </si>
  <si>
    <t xml:space="preserve">Table: APIEndpoints</t>
  </si>
  <si>
    <t xml:space="preserve">Stores flattened Swagger endpoint objects parsed by Prance. Each row = one API endpoint from the spec.</t>
  </si>
  <si>
    <t xml:space="preserve">Temporal Prance-parser activity</t>
  </si>
  <si>
    <t xml:space="preserve">Endpoint rows queryable for Phase 2 agent context</t>
  </si>
  <si>
    <t xml:space="preserve">APIEndpoints</t>
  </si>
  <si>
    <t xml:space="preserve">Internal (Temporal writes)</t>
  </si>
  <si>
    <t xml:space="preserve">FK on ProjectID; ignore duplicate path+method combos</t>
  </si>
  <si>
    <t xml:space="preserve">EndpointID: UUID PK | ProjectID: UUID FK | Method: VARCHAR | Path: VARCHAR | Description: TEXT | Parameters: JSONB</t>
  </si>
  <si>
    <t xml:space="preserve">Ingestion Workflow Definition</t>
  </si>
  <si>
    <t xml:space="preserve">Defines the ordered sequence of ingestion activities: BlobUpload → TextExtraction → SwaggerParse → Chunking → Embedding → VectorUpsert → StatusUpdate. Handles retries and timeouts per activity.</t>
  </si>
  <si>
    <t xml:space="preserve">Trigger payload: project_id, file paths, doc types</t>
  </si>
  <si>
    <t xml:space="preserve">Workflow result: success or failure with error details</t>
  </si>
  <si>
    <t xml:space="preserve">Projects (status updates via activities)</t>
  </si>
  <si>
    <t xml:space="preserve">N/A (internal Temporal workflow)</t>
  </si>
  <si>
    <t xml:space="preserve">Per-activity retry policy (3 attempts, exponential backoff); workflow timeout 30 min</t>
  </si>
  <si>
    <t xml:space="preserve">Each activity is idempotent. Workflow can be re-run safely on partial failure.</t>
  </si>
  <si>
    <t xml:space="preserve">BlobUploadActivity</t>
  </si>
  <si>
    <t xml:space="preserve">Uploads raw PDF and Swagger files from local FastAPI temp storage to Azure Blob Storage. Returns blob URLs/paths for downstream activities.</t>
  </si>
  <si>
    <t xml:space="preserve">Local file paths, Azure Blob container config</t>
  </si>
  <si>
    <t xml:space="preserve">Blob path strings per file</t>
  </si>
  <si>
    <t xml:space="preserve">N/A (internal Temporal activity)</t>
  </si>
  <si>
    <t xml:space="preserve">Retry 3x on transient Azure SDK errors; fail workflow on auth error</t>
  </si>
  <si>
    <t xml:space="preserve">Uses Azure SDK DefaultAzureCredential. Container created if not exists.</t>
  </si>
  <si>
    <t xml:space="preserve">TextExtractionActivity</t>
  </si>
  <si>
    <t xml:space="preserve">Calls PyMuPDF (fitz) to extract text from each PDF blob. Returns extracted text per document. Saves result to Documents table.</t>
  </si>
  <si>
    <t xml:space="preserve">Blob path of PDF file</t>
  </si>
  <si>
    <t xml:space="preserve">Extracted text string; writes to Documents table</t>
  </si>
  <si>
    <t xml:space="preserve">Documents (WRITE)</t>
  </si>
  <si>
    <t xml:space="preserve">Skip and log if PDF is image-only (no extractable text); retry 2x on IO error</t>
  </si>
  <si>
    <t xml:space="preserve">Runs on FastAPI VM. PyMuPDF reads from local temp copy of blob.</t>
  </si>
  <si>
    <t xml:space="preserve">SwaggerParseActivity</t>
  </si>
  <si>
    <t xml:space="preserve">Loads Swagger/OpenAPI blob, resolves all $ref references via Prance, and flattens into endpoint objects. Stores each endpoint row in APIEndpoints table.</t>
  </si>
  <si>
    <t xml:space="preserve">Blob path of Swagger file</t>
  </si>
  <si>
    <t xml:space="preserve">List of endpoint objects; writes to APIEndpoints table</t>
  </si>
  <si>
    <t xml:space="preserve">APIEndpoints (WRITE)</t>
  </si>
  <si>
    <t xml:space="preserve">Fail activity if Swagger file is malformed; log parse warnings</t>
  </si>
  <si>
    <t xml:space="preserve">Supports YAML and JSON OpenAPI formats. Uses prance.ResolvingParser.</t>
  </si>
  <si>
    <t xml:space="preserve">ChunkingActivity</t>
  </si>
  <si>
    <t xml:space="preserve">Reads extracted text from Documents table for a project. Applies sliding window chunking (configurable chunk_size and overlap). Returns list of chunk objects with metadata.</t>
  </si>
  <si>
    <t xml:space="preserve">Extracted text from Documents table; chunk_size, overlap env vars</t>
  </si>
  <si>
    <t xml:space="preserve">List of chunk dicts: {text, doc_id, chunk_index, project_id}</t>
  </si>
  <si>
    <t xml:space="preserve">None (in-memory, passed to next activity)</t>
  </si>
  <si>
    <t xml:space="preserve">Handle empty text gracefully (skip doc); log chunk count per document</t>
  </si>
  <si>
    <t xml:space="preserve">Default: chunk_size=512 tokens, overlap=50 tokens. Configurable via ENV.</t>
  </si>
  <si>
    <t xml:space="preserve">EmbeddingActivity</t>
  </si>
  <si>
    <t xml:space="preserve">Loads all-MiniLM-L6-v2 model (cached on VM). Generates 384-dim embeddings for each text chunk. Returns list of vectors paired with chunk metadata.</t>
  </si>
  <si>
    <t xml:space="preserve">List of chunk dicts from ChunkingActivity</t>
  </si>
  <si>
    <t xml:space="preserve">List of {vector: [float], payload: {doc_id, chunk_index, text}}</t>
  </si>
  <si>
    <t xml:space="preserve">Retry 2x on model inference error; batch chunks in groups of 64 for memory efficiency</t>
  </si>
  <si>
    <t xml:space="preserve">Model loaded once per worker process and cached. No external API calls.</t>
  </si>
  <si>
    <t xml:space="preserve">VectorUpsertActivity</t>
  </si>
  <si>
    <t xml:space="preserve">Upserts all vector embeddings into Qdrant. Uses SHA-256 hash of chunk text as point ID for deduplication. Skips existing identical chunks.</t>
  </si>
  <si>
    <t xml:space="preserve">List of {vector, payload} from EmbeddingActivity; Qdrant collection name</t>
  </si>
  <si>
    <t xml:space="preserve">Upsert count; skipped (duplicate) count</t>
  </si>
  <si>
    <t xml:space="preserve">None (Qdrant external)</t>
  </si>
  <si>
    <t xml:space="preserve">Retry 3x on Qdrant connection error; log skipped duplicates</t>
  </si>
  <si>
    <t xml:space="preserve">Collection created if not exists. SHA-256 ensures same content never duplicated across runs.</t>
  </si>
  <si>
    <t xml:space="preserve">StatusUpdateActivity</t>
  </si>
  <si>
    <t xml:space="preserve">Final activity in workflow. Updates Project record status to 'Ingestion Complete' in PostgreSQL. Timestamps UpdatedAt.</t>
  </si>
  <si>
    <t xml:space="preserve">project_id; final status string</t>
  </si>
  <si>
    <t xml:space="preserve">Updated Project record</t>
  </si>
  <si>
    <t xml:space="preserve">Projects (UPDATE)</t>
  </si>
  <si>
    <t xml:space="preserve">Retry 3x on DB write failure; if all fail, log critical and leave status as Processing</t>
  </si>
  <si>
    <t xml:space="preserve">Called as last step regardless of partial failures in optional activities.</t>
  </si>
  <si>
    <t xml:space="preserve">File Routing</t>
  </si>
  <si>
    <t xml:space="preserve">Raw PDFs and Swagger files are uploaded to a dedicated Azure Blob container per project. Provides durable storage accessible to all VM-based activities.</t>
  </si>
  <si>
    <t xml:space="preserve">Binary file content from FastAPI temp upload</t>
  </si>
  <si>
    <t xml:space="preserve">Blob URL / path string</t>
  </si>
  <si>
    <t xml:space="preserve">N/A (Azure SDK calls)</t>
  </si>
  <si>
    <t xml:space="preserve">Handle 403 auth errors with clear message; handle quota exceeded errors</t>
  </si>
  <si>
    <t xml:space="preserve">Container naming: project-{project_id}. Files named by original filename + timestamp.</t>
  </si>
  <si>
    <t xml:space="preserve">Collection &amp; Upsert</t>
  </si>
  <si>
    <t xml:space="preserve">Maintains a single Qdrant collection for Phase 1 ingested embeddings. Each point: id=SHA256(chunk_text), vector=384-dim float array, payload={project_id, doc_id, doc_type, text, chunk_index}.</t>
  </si>
  <si>
    <t xml:space="preserve">Vector + payload from EmbeddingActivity</t>
  </si>
  <si>
    <t xml:space="preserve">Upsert acknowledgement; search results (Top-K) on query</t>
  </si>
  <si>
    <t xml:space="preserve">None (Qdrant internal)</t>
  </si>
  <si>
    <t xml:space="preserve">Exposed via fetch_vector_context MCP tool in Phase 2</t>
  </si>
  <si>
    <t xml:space="preserve">Handle collection not found with auto-create; handle dimension mismatch as fatal error</t>
  </si>
  <si>
    <t xml:space="preserve">Collection: 'phase1_docs'. Distance metric: Cosine. Vectors dimension: 384.</t>
  </si>
  <si>
    <t xml:space="preserve">PHASE 1 – SPRINT PLANNING &amp; USER STORIES  (Start: 1 April 2026)</t>
  </si>
  <si>
    <t xml:space="preserve">USN Items</t>
  </si>
  <si>
    <t xml:space="preserve">Dev Effort
(Days)</t>
  </si>
  <si>
    <t xml:space="preserve">UT Effort
(Days)</t>
  </si>
  <si>
    <t xml:space="preserve">Total Effort
(Days)</t>
  </si>
  <si>
    <t xml:space="preserve">Epic</t>
  </si>
  <si>
    <t xml:space="preserve">User Story</t>
  </si>
  <si>
    <t xml:space="preserve">Feature(s) to Build</t>
  </si>
  <si>
    <t xml:space="preserve">Acceptance Criteria</t>
  </si>
  <si>
    <t xml:space="preserve">Assigned To</t>
  </si>
  <si>
    <t xml:space="preserve">Sprint / Week</t>
  </si>
  <si>
    <t xml:space="preserve">Est. Start</t>
  </si>
  <si>
    <t xml:space="preserve">Est. End</t>
  </si>
  <si>
    <t xml:space="preserve">Effort
(Days)</t>
  </si>
  <si>
    <t xml:space="preserve">Priority</t>
  </si>
  <si>
    <t xml:space="preserve">Project Upload &amp; Ingestion API</t>
  </si>
  <si>
    <t xml:space="preserve">Document Ingestion</t>
  </si>
  <si>
    <t xml:space="preserve">As a QA Engineer, I want to upload project documents (PDFs, Swagger, .env, URL) so that the system can ingest them and make them searchable.</t>
  </si>
  <si>
    <t xml:space="preserve">1. POST /api/v1/projects endpoint
2. Multipart file upload handling
3. Input validation (required files check)
4. Project record INSERT (status=Pending)
5. Return project_id + 202 Accepted</t>
  </si>
  <si>
    <t xml:space="preserve">1. Upload with all file types succeeds
2. project_id returned immediately
3. Missing files return 400
4. DB record created with status=Pending
5. Endpoint documented in /docs</t>
  </si>
  <si>
    <t xml:space="preserve">Dev 1 + Dev 2</t>
  </si>
  <si>
    <t xml:space="preserve">Week 1</t>
  </si>
  <si>
    <t xml:space="preserve">01-Apr-2026</t>
  </si>
  <si>
    <t xml:space="preserve">07-Apr-2026</t>
  </si>
  <si>
    <t xml:space="preserve">P1 - Critical</t>
  </si>
  <si>
    <t xml:space="preserve">Not Started</t>
  </si>
  <si>
    <t xml:space="preserve">Synchronous Liveness &amp; Credential Check</t>
  </si>
  <si>
    <t xml:space="preserve">As a system, I want to validate credentials and liveness synchronously before starting ingestion so that failures are caught early and reported clearly.</t>
  </si>
  <si>
    <t xml:space="preserve">1. Liveness ping (self health check)
2. .env credential parsing and basic validation
3. Return 503 on liveness fail
4. Return 401 on credential fail
5. Gate: only proceed if all checks pass</t>
  </si>
  <si>
    <t xml:space="preserve">1. Valid credentials → proceed to ingestion
2. Invalid creds → 401 with clear message
3. Liveness fail → 503
4. Check completes within 2 seconds
5. No project record created on failure</t>
  </si>
  <si>
    <t xml:space="preserve">Dev 2</t>
  </si>
  <si>
    <t xml:space="preserve">03-Apr-2026</t>
  </si>
  <si>
    <t xml:space="preserve">Temporal Workflow – Ingestion Pipeline</t>
  </si>
  <si>
    <t xml:space="preserve">As a system, I want the ingestion pipeline to run as a Temporal durable workflow so that each step is fault-tolerant, retriable, and observable.</t>
  </si>
  <si>
    <t xml:space="preserve">1. Temporal workflow definition
2. Activity sequence: BlobUpload → TextExtract → SwaggerParse → Chunk → Embed → VectorUpsert → StatusUpdate
3. Per-activity retry policies
4. Workflow timeout (30 min)
5. Workflow trigger from FastAPI background task</t>
  </si>
  <si>
    <t xml:space="preserve">1. Workflow starts within 1 sec of project creation
2. Each activity retries 3x on transient error
3. Status updated at each stage
4. Workflow observable in Temporal UI
5. Re-run on failure is idempotent</t>
  </si>
  <si>
    <t xml:space="preserve">Week 1–2</t>
  </si>
  <si>
    <t xml:space="preserve">14-Apr-2026</t>
  </si>
  <si>
    <t xml:space="preserve">Azure Blob Storage – File Upload Activity</t>
  </si>
  <si>
    <t xml:space="preserve">As a system, I want raw uploaded files to be stored in Azure Blob Storage so that large binary files are durably stored and accessible to downstream activities.</t>
  </si>
  <si>
    <t xml:space="preserve">1. BlobUploadActivity implementation
2. Azure SDK integration (DefaultAzureCredential)
3. Container per project naming convention
4. Return blob paths to workflow state
5. Handle container auto-creation</t>
  </si>
  <si>
    <t xml:space="preserve">1. Files uploaded to correct container
2. Blob paths returned to next activity
3. Auth error returns clear failure message
4. Activity retries on transient network error
5. Container named project-{project_id}</t>
  </si>
  <si>
    <t xml:space="preserve">04-Apr-2026</t>
  </si>
  <si>
    <t xml:space="preserve">PDF Text Extraction (PyMuPDF)</t>
  </si>
  <si>
    <t xml:space="preserve">As a system, I want to extract raw text from uploaded PDF documents using PyMuPDF so that document content is available for chunking and embedding.</t>
  </si>
  <si>
    <t xml:space="preserve">1. TextExtractionActivity using PyMuPDF (fitz)
2. Read PDF from blob path
3. Extract text page by page
4. Save extracted text to Documents table
5. Handle image-only PDFs gracefully</t>
  </si>
  <si>
    <t xml:space="preserve">1. Text extracted successfully from text PDFs
2. Documents table row created with text
3. Image-only PDFs skipped with log entry
4. Activity retries 2x on IO error
5. Empty text handled without crash</t>
  </si>
  <si>
    <t xml:space="preserve">Swagger Spec Parsing (Prance)</t>
  </si>
  <si>
    <t xml:space="preserve">As a system, I want Swagger/OpenAPI specs to be parsed and flattened into endpoint records so that API endpoints are individually stored and searchable.</t>
  </si>
  <si>
    <t xml:space="preserve">1. SwaggerParseActivity using Prance
2. Support YAML and JSON formats
3. Resolve all $ref references
4. Flatten endpoints: method, path, description, params
5. Insert rows to APIEndpoints table</t>
  </si>
  <si>
    <t xml:space="preserve">1. Valid Swagger parsed without error
2. All endpoints stored as individual rows
3. YAML and JSON both supported
4. Malformed Swagger fails activity with clear log
5. Duplicate path+method ignored</t>
  </si>
  <si>
    <t xml:space="preserve">Week 2</t>
  </si>
  <si>
    <t xml:space="preserve">08-Apr-2026</t>
  </si>
  <si>
    <t xml:space="preserve">11-Apr-2026</t>
  </si>
  <si>
    <t xml:space="preserve">P2 - High</t>
  </si>
  <si>
    <t xml:space="preserve">Document Chunking (Sliding Window)</t>
  </si>
  <si>
    <t xml:space="preserve">As a system, I want extracted document text to be split into overlapping chunks so that context is preserved at boundaries and embedding quality is maximised.</t>
  </si>
  <si>
    <t xml:space="preserve">1. ChunkingActivity implementation
2. Sliding window logic (chunk_size, overlap)
3. Chunk metadata: doc_id, chunk_index, project_id
4. Configurable via CHUNK_SIZE_TOKENS and OVERLAP_TOKENS env vars
5. Handle empty text gracefully</t>
  </si>
  <si>
    <t xml:space="preserve">1. Text split into correctly sized chunks
2. Overlap applied at boundaries
3. Chunk count logged per document
4. Empty documents skipped without crash
5. Config values loaded from ENV</t>
  </si>
  <si>
    <t xml:space="preserve">Dev 1</t>
  </si>
  <si>
    <t xml:space="preserve">10-Apr-2026</t>
  </si>
  <si>
    <t xml:space="preserve">Local Embedding Generation (all-MiniLM-L6-v2)</t>
  </si>
  <si>
    <t xml:space="preserve">As a system, I want vector embeddings to be generated locally using all-MiniLM-L6-v2 so that chunks are vectorised without external API cost or latency.</t>
  </si>
  <si>
    <t xml:space="preserve">1. EmbeddingActivity using sentence-transformers
2. Model load and cache on VM (one-time)
3. Batch inference in groups of 64
4. Return 384-dim float vectors per chunk
5. Pair vectors with chunk metadata</t>
  </si>
  <si>
    <t xml:space="preserve">1. Embeddings generated for all chunks
2. Model cached and not reloaded per activity
3. Batch size configurable via ENV
4. Output dimension is 384
5. Inference error retried 2x</t>
  </si>
  <si>
    <t xml:space="preserve">Qdrant Vector Upsert (SHA-256 Dedup)</t>
  </si>
  <si>
    <t xml:space="preserve">As a system, I want embeddings upserted into Qdrant with SHA-256 deduplication so that the same content is never stored twice across ingestion runs.</t>
  </si>
  <si>
    <t xml:space="preserve">1. VectorUpsertActivity using Qdrant Python client
2. SHA-256 hash of chunk text as point ID
3. Upsert with vector + payload
4. Collection auto-create if not exists
5. Log skipped duplicate count</t>
  </si>
  <si>
    <t xml:space="preserve">1. All new chunks upserted to Qdrant
2. Duplicate chunks skipped (not duplicated)
3. Collection 'phase1_docs' exists after activity
4. Point payload includes project_id, doc_type, text
5. Retry 3x on connection error</t>
  </si>
  <si>
    <t xml:space="preserve">Week 3</t>
  </si>
  <si>
    <t xml:space="preserve">15-Apr-2026</t>
  </si>
  <si>
    <t xml:space="preserve">18-Apr-2026</t>
  </si>
  <si>
    <t xml:space="preserve">PostgreSQL – Projects &amp; Documents Tables</t>
  </si>
  <si>
    <t xml:space="preserve">Database &amp; API</t>
  </si>
  <si>
    <t xml:space="preserve">As a developer, I want Projects and Documents PostgreSQL tables set up with defined schemas so that project and document data is persistently stored.</t>
  </si>
  <si>
    <t xml:space="preserve">1. Projects table migration (Alembic)
2. Documents table migration
3. APIEndpoints table migration
4. SQLAlchemy ORM models for all tables
5. FK constraints and indexes</t>
  </si>
  <si>
    <t xml:space="preserve">1. All tables created with correct columns
2. FK constraints enforced
3. Alembic migration runs cleanly
4. UUID PKs auto-generated
5. Indexes on ProjectID in child tables</t>
  </si>
  <si>
    <t xml:space="preserve">React UI – Upload Form &amp; Status Polling</t>
  </si>
  <si>
    <t xml:space="preserve">As a QA Engineer, I want a simple upload form in the React app so that I can submit project documents and see the ingestion status in real time.</t>
  </si>
  <si>
    <t xml:space="preserve">1. UploadProjectForm React component
2. Multipart POST to /api/v1/projects
3. StatusPoller component (polls GET /api/v1/projects/{id} every 3s)
4. Status chip: Pending / Processing / Complete / Failed
5. Error toast on failure</t>
  </si>
  <si>
    <t xml:space="preserve">1. Form accepts PDF, Swagger, .env, URL
2. Submit triggers upload and shows spinner
3. Status chip updates automatically
4. 'Ingestion Complete' shown when done
5. Error displayed clearly on failure</t>
  </si>
  <si>
    <t xml:space="preserve">Dev 3</t>
  </si>
  <si>
    <t xml:space="preserve">fetch_vector_context MCP Tool Endpoint</t>
  </si>
  <si>
    <t xml:space="preserve">As the Phase 2 system, I want a fetch_vector_context MCP tool endpoint exposed by FastAPI so that Phase 2 LangGraph agents can query Phase 1 vector embeddings.</t>
  </si>
  <si>
    <t xml:space="preserve">1. FastMCP server setup on FastAPI
2. fetch_vector_context tool: accepts query_text, doc_type filter, top_k
3. Embed query with same local model
4. Qdrant search with filter
5. Return top-K chunk objects</t>
  </si>
  <si>
    <t xml:space="preserve">1. MCP tool callable from LangGraph
2. Supports doc_type filter (BRD, Swagger, etc.)
3. Returns top_k chunks with text + metadata
4. Empty result handled gracefully
5. Response time &lt; 2s for typical query</t>
  </si>
  <si>
    <t xml:space="preserve">Azure VM – Deployment &amp; Environment Setup</t>
  </si>
  <si>
    <t xml:space="preserve">Infrastructure</t>
  </si>
  <si>
    <t xml:space="preserve">As a team, I want all Phase 1 services deployed and running on the Azure Ubuntu VM so that the full ingestion pipeline is operational in the target environment.</t>
  </si>
  <si>
    <t xml:space="preserve">1. Docker compose / systemd for FastAPI, Qdrant, Temporal
2. Environment variable configuration (.env)
3. PostgreSQL connection from FastAPI
4. Temporal worker registration
5. Basic smoke test post-deploy</t>
  </si>
  <si>
    <t xml:space="preserve">1. All services start without error on Azure VM
2. FastAPI reachable from React UI
3. Temporal UI accessible
4. Qdrant reachable from FastAPI
5. End-to-end ingestion smoke test passes</t>
  </si>
  <si>
    <t xml:space="preserve">Dev 1 + Dev 3</t>
  </si>
  <si>
    <t xml:space="preserve">Week 4</t>
  </si>
  <si>
    <t xml:space="preserve">22-Apr-2026</t>
  </si>
  <si>
    <t xml:space="preserve">28-Apr-2026</t>
  </si>
  <si>
    <t xml:space="preserve">E2E Integration Testing – Phase 1</t>
  </si>
  <si>
    <t xml:space="preserve">Integration &amp; Testing</t>
  </si>
  <si>
    <t xml:space="preserve">As a team, we want an end-to-end integration test of the full Phase 1 ingestion flow so that we can confirm the pipeline works before Phase 2 begins.</t>
  </si>
  <si>
    <t xml:space="preserve">1. E2E test script: upload docs → poll status → verify Qdrant vectors inserted
2. Verify Documents table populated
3. Verify APIEndpoints table populated
4. Verify fetch_vector_context MCP returns results
5. Bug fixes from integration findings</t>
  </si>
  <si>
    <t xml:space="preserve">1. Full ingestion completes without errors
2. Qdrant collection has correct vector count
3. Documents and APIEndpoints tables populated
4. MCP tool returns relevant chunks
5. Demo-ready for mentor presentation</t>
  </si>
  <si>
    <t xml:space="preserve">All Devs</t>
  </si>
  <si>
    <t xml:space="preserve">Week 5</t>
  </si>
  <si>
    <t xml:space="preserve">29-Apr-2026</t>
  </si>
  <si>
    <t xml:space="preserve">05-May-2026</t>
  </si>
  <si>
    <t xml:space="preserve">TOTALS</t>
  </si>
  <si>
    <t xml:space="preserve">Phase 1 Total</t>
  </si>
  <si>
    <t xml:space="preserve">PHASE 1 – PROJECT SUMMARY DASHBOARD</t>
  </si>
  <si>
    <t xml:space="preserve">Total User Stories</t>
  </si>
  <si>
    <t xml:space="preserve">Total Dev Effort (Days)</t>
  </si>
  <si>
    <t xml:space="preserve">Total UT Effort (Days)</t>
  </si>
  <si>
    <t xml:space="preserve">Total Effort (Days)</t>
  </si>
  <si>
    <t xml:space="preserve">P1 Critical Items</t>
  </si>
  <si>
    <t xml:space="preserve">P2 High Items</t>
  </si>
  <si>
    <t xml:space="preserve">Sprint Weeks</t>
  </si>
  <si>
    <t xml:space="preserve">Target Go-Live</t>
  </si>
  <si>
    <t xml:space="preserve">SPRINT TIMELINE</t>
  </si>
  <si>
    <t xml:space="preserve">Sprint</t>
  </si>
  <si>
    <t xml:space="preserve">Week</t>
  </si>
  <si>
    <t xml:space="preserve">Start Date</t>
  </si>
  <si>
    <t xml:space="preserve">End Date</t>
  </si>
  <si>
    <t xml:space="preserve">Focus</t>
  </si>
  <si>
    <t xml:space="preserve">Stories</t>
  </si>
  <si>
    <t xml:space="preserve">Assigned</t>
  </si>
  <si>
    <t xml:space="preserve">Sprint 1</t>
  </si>
  <si>
    <t xml:space="preserve">Project Upload API + DB Setup + Blob Upload + Text Extraction</t>
  </si>
  <si>
    <t xml:space="preserve">USN 1, 2, 4, 5, 10</t>
  </si>
  <si>
    <t xml:space="preserve">Dev 1, Dev 2</t>
  </si>
  <si>
    <t xml:space="preserve">Sprint 2</t>
  </si>
  <si>
    <t xml:space="preserve">Temporal Workflow + Swagger Parse + Chunking + Embedding + React UI</t>
  </si>
  <si>
    <t xml:space="preserve">USN 3, 6, 7, 8, 11</t>
  </si>
  <si>
    <t xml:space="preserve">Dev 1, Dev 2, Dev 3</t>
  </si>
  <si>
    <t xml:space="preserve">Sprint 3</t>
  </si>
  <si>
    <t xml:space="preserve">21-Apr-2026</t>
  </si>
  <si>
    <t xml:space="preserve">Qdrant Upsert + MCP Tool Endpoint</t>
  </si>
  <si>
    <t xml:space="preserve">USN 9, 12</t>
  </si>
  <si>
    <t xml:space="preserve">Sprint 4</t>
  </si>
  <si>
    <t xml:space="preserve">Azure VM Deployment + Environment Setup</t>
  </si>
  <si>
    <t xml:space="preserve">USN 13</t>
  </si>
  <si>
    <t xml:space="preserve">Dev 1, Dev 3</t>
  </si>
  <si>
    <t xml:space="preserve">Sprint 5</t>
  </si>
  <si>
    <t xml:space="preserve">E2E Integration Testing + Bug Fixes + Demo Prep</t>
  </si>
  <si>
    <t xml:space="preserve">USN 14</t>
  </si>
  <si>
    <t xml:space="preserve">PHASE 1 COMPONENT OVERVIEW</t>
  </si>
  <si>
    <t xml:space="preserve">Tech</t>
  </si>
  <si>
    <t xml:space="preserve">Role in Pipeline</t>
  </si>
  <si>
    <t xml:space="preserve">React, TailwindCSS</t>
  </si>
  <si>
    <t xml:space="preserve">Browser</t>
  </si>
  <si>
    <t xml:space="preserve">Upload form + status polling</t>
  </si>
  <si>
    <t xml:space="preserve">Orchestrator</t>
  </si>
  <si>
    <t xml:space="preserve">Python, FastAPI, SQLAlchemy</t>
  </si>
  <si>
    <t xml:space="preserve">Sync validation + Temporal trigger + MCP host</t>
  </si>
  <si>
    <t xml:space="preserve">Workflow</t>
  </si>
  <si>
    <t xml:space="preserve">Temporal, Python SDK</t>
  </si>
  <si>
    <t xml:space="preserve">Durable async ingestion pipeline</t>
  </si>
  <si>
    <t xml:space="preserve">Storage</t>
  </si>
  <si>
    <t xml:space="preserve">Azure SDK</t>
  </si>
  <si>
    <t xml:space="preserve">Azure Managed</t>
  </si>
  <si>
    <t xml:space="preserve">Raw PDF/Swagger file store</t>
  </si>
  <si>
    <t xml:space="preserve">Database</t>
  </si>
  <si>
    <t xml:space="preserve">PostgreSQL, Alembic</t>
  </si>
  <si>
    <t xml:space="preserve">Project + Document + Endpoint metadata</t>
  </si>
  <si>
    <t xml:space="preserve">PyMuPDF</t>
  </si>
  <si>
    <t xml:space="preserve">Library</t>
  </si>
  <si>
    <t xml:space="preserve">fitz, Python</t>
  </si>
  <si>
    <t xml:space="preserve">PDF text extraction</t>
  </si>
  <si>
    <t xml:space="preserve">Prance</t>
  </si>
  <si>
    <t xml:space="preserve">Swagger $ref resolution + flattening</t>
  </si>
  <si>
    <t xml:space="preserve">Utility</t>
  </si>
  <si>
    <t xml:space="preserve">Python / LangChain</t>
  </si>
  <si>
    <t xml:space="preserve">Text chunking with overlap</t>
  </si>
  <si>
    <t xml:space="preserve">all-MiniLM-L6-v2</t>
  </si>
  <si>
    <t xml:space="preserve">ML Model</t>
  </si>
  <si>
    <t xml:space="preserve">sentence-transformers</t>
  </si>
  <si>
    <t xml:space="preserve">Local 384-dim embedding generation</t>
  </si>
  <si>
    <t xml:space="preserve">Qdrant Docker</t>
  </si>
  <si>
    <t xml:space="preserve">SHA-256 dedup vector storage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</si>
</sst>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EEEE"/>
      </patternFill>
    </fill>
    <fill>
      <patternFill patternType="solid">
        <fgColor rgb="FFDCE6F1"/>
        <bgColor rgb="FFD6E4F0"/>
      </patternFill>
    </fill>
    <fill>
      <patternFill patternType="solid">
        <fgColor rgb="FFFFCCCC"/>
        <bgColor rgb="FFFFE5CC"/>
      </patternFill>
    </fill>
    <fill>
      <patternFill patternType="solid">
        <fgColor rgb="FFFFEEEE"/>
        <bgColor rgb="FFEBF3FB"/>
      </patternFill>
    </fill>
    <fill>
      <patternFill patternType="solid">
        <fgColor rgb="FFFFE5CC"/>
        <bgColor rgb="FFFFEEEE"/>
      </patternFill>
    </fill>
    <fill>
      <patternFill patternType="solid">
        <fgColor rgb="FFFFC000"/>
        <bgColor rgb="FFFF9900"/>
      </patternFill>
    </fill>
    <fill>
      <patternFill patternType="solid">
        <fgColor rgb="FFEBF3FB"/>
        <bgColor rgb="FFFFEEEE"/>
      </patternFill>
    </fill>
    <fill>
      <patternFill patternType="solid">
        <fgColor rgb="FFD6E4F0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EEE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E5CC"/>
      <rgbColor rgb="FF99CCFF"/>
      <rgbColor rgb="FFFF99CC"/>
      <rgbColor rgb="FFCC99FF"/>
      <rgbColor rgb="FFFFCCCC"/>
      <rgbColor rgb="FF2E75B6"/>
      <rgbColor rgb="FF33CCCC"/>
      <rgbColor rgb="FF99CC00"/>
      <rgbColor rgb="FFFFC000"/>
      <rgbColor rgb="FFFF9900"/>
      <rgbColor rgb="FFFF6600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6" min="5" style="0" width="30"/>
    <col collapsed="false" customWidth="true" hidden="false" outlineLevel="0" max="7" min="7" style="0" width="28"/>
    <col collapsed="false" customWidth="true" hidden="false" outlineLevel="0" max="8" min="8" style="0" width="42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54.75" hidden="false" customHeight="true" outlineLevel="0" collapsed="false">
      <c r="A3" s="3" t="n">
        <v>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</row>
    <row r="4" customFormat="false" ht="54.75" hidden="false" customHeight="true" outlineLevel="0" collapsed="false">
      <c r="A4" s="6" t="n">
        <v>2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20</v>
      </c>
      <c r="K4" s="8" t="s">
        <v>21</v>
      </c>
    </row>
    <row r="5" customFormat="false" ht="54.75" hidden="false" customHeight="true" outlineLevel="0" collapsed="false">
      <c r="A5" s="3" t="n">
        <v>3</v>
      </c>
      <c r="B5" s="4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29</v>
      </c>
      <c r="J5" s="5" t="s">
        <v>20</v>
      </c>
      <c r="K5" s="5" t="s">
        <v>21</v>
      </c>
    </row>
    <row r="6" customFormat="false" ht="54.75" hidden="false" customHeight="true" outlineLevel="0" collapsed="false">
      <c r="A6" s="6" t="n">
        <v>4</v>
      </c>
      <c r="B6" s="7" t="s">
        <v>37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  <c r="I6" s="8" t="s">
        <v>44</v>
      </c>
      <c r="J6" s="8" t="s">
        <v>20</v>
      </c>
      <c r="K6" s="8" t="s">
        <v>21</v>
      </c>
    </row>
    <row r="7" customFormat="false" ht="54.75" hidden="false" customHeight="true" outlineLevel="0" collapsed="false">
      <c r="A7" s="3" t="n">
        <v>5</v>
      </c>
      <c r="B7" s="4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44</v>
      </c>
      <c r="J7" s="5" t="s">
        <v>20</v>
      </c>
      <c r="K7" s="5" t="s">
        <v>21</v>
      </c>
    </row>
    <row r="8" customFormat="false" ht="54.75" hidden="false" customHeight="true" outlineLevel="0" collapsed="false">
      <c r="A8" s="6" t="n">
        <v>6</v>
      </c>
      <c r="B8" s="7" t="s">
        <v>52</v>
      </c>
      <c r="C8" s="8" t="s">
        <v>53</v>
      </c>
      <c r="D8" s="8" t="s">
        <v>54</v>
      </c>
      <c r="E8" s="8" t="s">
        <v>55</v>
      </c>
      <c r="F8" s="8" t="s">
        <v>56</v>
      </c>
      <c r="G8" s="8" t="s">
        <v>57</v>
      </c>
      <c r="H8" s="8" t="s">
        <v>58</v>
      </c>
      <c r="I8" s="8" t="s">
        <v>29</v>
      </c>
      <c r="J8" s="8" t="s">
        <v>20</v>
      </c>
      <c r="K8" s="8" t="s">
        <v>21</v>
      </c>
    </row>
    <row r="9" customFormat="false" ht="54.75" hidden="false" customHeight="true" outlineLevel="0" collapsed="false">
      <c r="A9" s="3" t="n">
        <v>7</v>
      </c>
      <c r="B9" s="4" t="s">
        <v>59</v>
      </c>
      <c r="C9" s="5" t="s">
        <v>53</v>
      </c>
      <c r="D9" s="5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29</v>
      </c>
      <c r="J9" s="5" t="s">
        <v>20</v>
      </c>
      <c r="K9" s="5" t="s">
        <v>21</v>
      </c>
    </row>
    <row r="10" customFormat="false" ht="54.75" hidden="false" customHeight="true" outlineLevel="0" collapsed="false">
      <c r="A10" s="6" t="n">
        <v>8</v>
      </c>
      <c r="B10" s="7" t="s">
        <v>65</v>
      </c>
      <c r="C10" s="8" t="s">
        <v>66</v>
      </c>
      <c r="D10" s="8" t="s">
        <v>67</v>
      </c>
      <c r="E10" s="8" t="s">
        <v>68</v>
      </c>
      <c r="F10" s="8" t="s">
        <v>69</v>
      </c>
      <c r="G10" s="8" t="s">
        <v>70</v>
      </c>
      <c r="H10" s="8" t="s">
        <v>71</v>
      </c>
      <c r="I10" s="8" t="s">
        <v>29</v>
      </c>
      <c r="J10" s="8" t="s">
        <v>20</v>
      </c>
      <c r="K10" s="8" t="s">
        <v>21</v>
      </c>
    </row>
    <row r="11" customFormat="false" ht="54.75" hidden="false" customHeight="true" outlineLevel="0" collapsed="false">
      <c r="A11" s="3" t="n">
        <v>9</v>
      </c>
      <c r="B11" s="4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77</v>
      </c>
      <c r="H11" s="5" t="s">
        <v>78</v>
      </c>
      <c r="I11" s="5" t="s">
        <v>29</v>
      </c>
      <c r="J11" s="5" t="s">
        <v>20</v>
      </c>
      <c r="K11" s="5" t="s">
        <v>21</v>
      </c>
    </row>
    <row r="12" customFormat="false" ht="54.75" hidden="false" customHeight="true" outlineLevel="0" collapsed="false">
      <c r="A12" s="6" t="n">
        <v>10</v>
      </c>
      <c r="B12" s="7" t="s">
        <v>79</v>
      </c>
      <c r="C12" s="8" t="s">
        <v>80</v>
      </c>
      <c r="D12" s="8" t="s">
        <v>81</v>
      </c>
      <c r="E12" s="8" t="s">
        <v>82</v>
      </c>
      <c r="F12" s="8" t="s">
        <v>83</v>
      </c>
      <c r="G12" s="8" t="s">
        <v>84</v>
      </c>
      <c r="H12" s="8" t="s">
        <v>85</v>
      </c>
      <c r="I12" s="8" t="s">
        <v>86</v>
      </c>
      <c r="J12" s="8" t="s">
        <v>20</v>
      </c>
      <c r="K12" s="8" t="s">
        <v>21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36"/>
    <col collapsed="false" customWidth="true" hidden="false" outlineLevel="0" max="10" min="10" style="0" width="40"/>
  </cols>
  <sheetData>
    <row r="1" customFormat="false" ht="39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93</v>
      </c>
      <c r="H2" s="2" t="s">
        <v>94</v>
      </c>
      <c r="I2" s="2" t="s">
        <v>95</v>
      </c>
      <c r="J2" s="2" t="s">
        <v>96</v>
      </c>
    </row>
    <row r="3" customFormat="false" ht="60" hidden="false" customHeight="true" outlineLevel="0" collapsed="false">
      <c r="A3" s="3" t="n">
        <v>1</v>
      </c>
      <c r="B3" s="4" t="s">
        <v>12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101</v>
      </c>
      <c r="H3" s="5" t="s">
        <v>102</v>
      </c>
      <c r="I3" s="5" t="s">
        <v>103</v>
      </c>
      <c r="J3" s="5" t="s">
        <v>104</v>
      </c>
    </row>
    <row r="4" customFormat="false" ht="60" hidden="false" customHeight="true" outlineLevel="0" collapsed="false">
      <c r="A4" s="6" t="n">
        <v>2</v>
      </c>
      <c r="B4" s="7" t="s">
        <v>12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  <c r="J4" s="8" t="s">
        <v>112</v>
      </c>
    </row>
    <row r="5" customFormat="false" ht="60" hidden="false" customHeight="true" outlineLevel="0" collapsed="false">
      <c r="A5" s="3" t="n">
        <v>3</v>
      </c>
      <c r="B5" s="4" t="s">
        <v>113</v>
      </c>
      <c r="C5" s="5" t="s">
        <v>102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102</v>
      </c>
      <c r="I5" s="5" t="s">
        <v>118</v>
      </c>
      <c r="J5" s="5" t="s">
        <v>119</v>
      </c>
    </row>
    <row r="6" customFormat="false" ht="60" hidden="false" customHeight="true" outlineLevel="0" collapsed="false">
      <c r="A6" s="6" t="n">
        <v>4</v>
      </c>
      <c r="B6" s="7" t="s">
        <v>113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  <c r="H6" s="8" t="s">
        <v>125</v>
      </c>
      <c r="I6" s="8" t="s">
        <v>126</v>
      </c>
      <c r="J6" s="8" t="s">
        <v>127</v>
      </c>
    </row>
    <row r="7" customFormat="false" ht="60" hidden="false" customHeight="true" outlineLevel="0" collapsed="false">
      <c r="A7" s="3" t="n">
        <v>5</v>
      </c>
      <c r="B7" s="4" t="s">
        <v>113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109</v>
      </c>
      <c r="H7" s="5" t="s">
        <v>110</v>
      </c>
      <c r="I7" s="5" t="s">
        <v>132</v>
      </c>
      <c r="J7" s="5" t="s">
        <v>133</v>
      </c>
    </row>
    <row r="8" customFormat="false" ht="60" hidden="false" customHeight="true" outlineLevel="0" collapsed="false">
      <c r="A8" s="6" t="n">
        <v>6</v>
      </c>
      <c r="B8" s="7" t="s">
        <v>134</v>
      </c>
      <c r="C8" s="8" t="s">
        <v>135</v>
      </c>
      <c r="D8" s="8" t="s">
        <v>136</v>
      </c>
      <c r="E8" s="8" t="s">
        <v>137</v>
      </c>
      <c r="F8" s="8" t="s">
        <v>138</v>
      </c>
      <c r="G8" s="8" t="s">
        <v>139</v>
      </c>
      <c r="H8" s="8" t="s">
        <v>140</v>
      </c>
      <c r="I8" s="8" t="s">
        <v>141</v>
      </c>
      <c r="J8" s="8" t="s">
        <v>142</v>
      </c>
    </row>
    <row r="9" customFormat="false" ht="60" hidden="false" customHeight="true" outlineLevel="0" collapsed="false">
      <c r="A9" s="3" t="n">
        <v>7</v>
      </c>
      <c r="B9" s="4" t="s">
        <v>134</v>
      </c>
      <c r="C9" s="5" t="s">
        <v>143</v>
      </c>
      <c r="D9" s="5" t="s">
        <v>144</v>
      </c>
      <c r="E9" s="5" t="s">
        <v>145</v>
      </c>
      <c r="F9" s="5" t="s">
        <v>146</v>
      </c>
      <c r="G9" s="5" t="s">
        <v>147</v>
      </c>
      <c r="H9" s="5" t="s">
        <v>148</v>
      </c>
      <c r="I9" s="5" t="s">
        <v>149</v>
      </c>
      <c r="J9" s="5" t="s">
        <v>150</v>
      </c>
    </row>
    <row r="10" customFormat="false" ht="60" hidden="false" customHeight="true" outlineLevel="0" collapsed="false">
      <c r="A10" s="6" t="n">
        <v>8</v>
      </c>
      <c r="B10" s="7" t="s">
        <v>134</v>
      </c>
      <c r="C10" s="8" t="s">
        <v>151</v>
      </c>
      <c r="D10" s="8" t="s">
        <v>152</v>
      </c>
      <c r="E10" s="8" t="s">
        <v>153</v>
      </c>
      <c r="F10" s="8" t="s">
        <v>154</v>
      </c>
      <c r="G10" s="8" t="s">
        <v>155</v>
      </c>
      <c r="H10" s="8" t="s">
        <v>156</v>
      </c>
      <c r="I10" s="8" t="s">
        <v>157</v>
      </c>
      <c r="J10" s="8" t="s">
        <v>158</v>
      </c>
    </row>
    <row r="11" customFormat="false" ht="60" hidden="false" customHeight="true" outlineLevel="0" collapsed="false">
      <c r="A11" s="3" t="n">
        <v>9</v>
      </c>
      <c r="B11" s="4" t="s">
        <v>30</v>
      </c>
      <c r="C11" s="5" t="s">
        <v>159</v>
      </c>
      <c r="D11" s="5" t="s">
        <v>160</v>
      </c>
      <c r="E11" s="5" t="s">
        <v>161</v>
      </c>
      <c r="F11" s="5" t="s">
        <v>162</v>
      </c>
      <c r="G11" s="5" t="s">
        <v>163</v>
      </c>
      <c r="H11" s="5" t="s">
        <v>164</v>
      </c>
      <c r="I11" s="5" t="s">
        <v>165</v>
      </c>
      <c r="J11" s="5" t="s">
        <v>166</v>
      </c>
    </row>
    <row r="12" customFormat="false" ht="60" hidden="false" customHeight="true" outlineLevel="0" collapsed="false">
      <c r="A12" s="6" t="n">
        <v>10</v>
      </c>
      <c r="B12" s="7" t="s">
        <v>30</v>
      </c>
      <c r="C12" s="8" t="s">
        <v>167</v>
      </c>
      <c r="D12" s="8" t="s">
        <v>168</v>
      </c>
      <c r="E12" s="8" t="s">
        <v>169</v>
      </c>
      <c r="F12" s="8" t="s">
        <v>170</v>
      </c>
      <c r="G12" s="8" t="s">
        <v>124</v>
      </c>
      <c r="H12" s="8" t="s">
        <v>171</v>
      </c>
      <c r="I12" s="8" t="s">
        <v>172</v>
      </c>
      <c r="J12" s="8" t="s">
        <v>173</v>
      </c>
    </row>
    <row r="13" customFormat="false" ht="60" hidden="false" customHeight="true" outlineLevel="0" collapsed="false">
      <c r="A13" s="3" t="n">
        <v>11</v>
      </c>
      <c r="B13" s="4" t="s">
        <v>30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5" t="s">
        <v>171</v>
      </c>
      <c r="I13" s="5" t="s">
        <v>179</v>
      </c>
      <c r="J13" s="5" t="s">
        <v>180</v>
      </c>
    </row>
    <row r="14" customFormat="false" ht="60" hidden="false" customHeight="true" outlineLevel="0" collapsed="false">
      <c r="A14" s="6" t="n">
        <v>12</v>
      </c>
      <c r="B14" s="7" t="s">
        <v>30</v>
      </c>
      <c r="C14" s="8" t="s">
        <v>181</v>
      </c>
      <c r="D14" s="8" t="s">
        <v>182</v>
      </c>
      <c r="E14" s="8" t="s">
        <v>183</v>
      </c>
      <c r="F14" s="8" t="s">
        <v>184</v>
      </c>
      <c r="G14" s="8" t="s">
        <v>185</v>
      </c>
      <c r="H14" s="8" t="s">
        <v>171</v>
      </c>
      <c r="I14" s="8" t="s">
        <v>186</v>
      </c>
      <c r="J14" s="8" t="s">
        <v>187</v>
      </c>
    </row>
    <row r="15" customFormat="false" ht="60" hidden="false" customHeight="true" outlineLevel="0" collapsed="false">
      <c r="A15" s="3" t="n">
        <v>13</v>
      </c>
      <c r="B15" s="4" t="s">
        <v>30</v>
      </c>
      <c r="C15" s="5" t="s">
        <v>188</v>
      </c>
      <c r="D15" s="5" t="s">
        <v>189</v>
      </c>
      <c r="E15" s="5" t="s">
        <v>190</v>
      </c>
      <c r="F15" s="5" t="s">
        <v>191</v>
      </c>
      <c r="G15" s="5" t="s">
        <v>192</v>
      </c>
      <c r="H15" s="5" t="s">
        <v>171</v>
      </c>
      <c r="I15" s="5" t="s">
        <v>193</v>
      </c>
      <c r="J15" s="5" t="s">
        <v>194</v>
      </c>
    </row>
    <row r="16" customFormat="false" ht="60" hidden="false" customHeight="true" outlineLevel="0" collapsed="false">
      <c r="A16" s="6" t="n">
        <v>14</v>
      </c>
      <c r="B16" s="7" t="s">
        <v>30</v>
      </c>
      <c r="C16" s="8" t="s">
        <v>195</v>
      </c>
      <c r="D16" s="8" t="s">
        <v>196</v>
      </c>
      <c r="E16" s="8" t="s">
        <v>197</v>
      </c>
      <c r="F16" s="8" t="s">
        <v>198</v>
      </c>
      <c r="G16" s="8" t="s">
        <v>124</v>
      </c>
      <c r="H16" s="8" t="s">
        <v>171</v>
      </c>
      <c r="I16" s="8" t="s">
        <v>199</v>
      </c>
      <c r="J16" s="8" t="s">
        <v>200</v>
      </c>
    </row>
    <row r="17" customFormat="false" ht="60" hidden="false" customHeight="true" outlineLevel="0" collapsed="false">
      <c r="A17" s="3" t="n">
        <v>15</v>
      </c>
      <c r="B17" s="4" t="s">
        <v>30</v>
      </c>
      <c r="C17" s="5" t="s">
        <v>201</v>
      </c>
      <c r="D17" s="5" t="s">
        <v>202</v>
      </c>
      <c r="E17" s="5" t="s">
        <v>203</v>
      </c>
      <c r="F17" s="5" t="s">
        <v>204</v>
      </c>
      <c r="G17" s="5" t="s">
        <v>205</v>
      </c>
      <c r="H17" s="5" t="s">
        <v>171</v>
      </c>
      <c r="I17" s="5" t="s">
        <v>206</v>
      </c>
      <c r="J17" s="5" t="s">
        <v>207</v>
      </c>
    </row>
    <row r="18" customFormat="false" ht="60" hidden="false" customHeight="true" outlineLevel="0" collapsed="false">
      <c r="A18" s="6" t="n">
        <v>16</v>
      </c>
      <c r="B18" s="7" t="s">
        <v>30</v>
      </c>
      <c r="C18" s="8" t="s">
        <v>208</v>
      </c>
      <c r="D18" s="8" t="s">
        <v>209</v>
      </c>
      <c r="E18" s="8" t="s">
        <v>210</v>
      </c>
      <c r="F18" s="8" t="s">
        <v>211</v>
      </c>
      <c r="G18" s="8" t="s">
        <v>212</v>
      </c>
      <c r="H18" s="8" t="s">
        <v>171</v>
      </c>
      <c r="I18" s="8" t="s">
        <v>213</v>
      </c>
      <c r="J18" s="8" t="s">
        <v>214</v>
      </c>
    </row>
    <row r="19" customFormat="false" ht="60" hidden="false" customHeight="true" outlineLevel="0" collapsed="false">
      <c r="A19" s="3" t="n">
        <v>17</v>
      </c>
      <c r="B19" s="4" t="s">
        <v>37</v>
      </c>
      <c r="C19" s="5" t="s">
        <v>215</v>
      </c>
      <c r="D19" s="5" t="s">
        <v>216</v>
      </c>
      <c r="E19" s="5" t="s">
        <v>217</v>
      </c>
      <c r="F19" s="5" t="s">
        <v>218</v>
      </c>
      <c r="G19" s="5" t="s">
        <v>124</v>
      </c>
      <c r="H19" s="5" t="s">
        <v>219</v>
      </c>
      <c r="I19" s="5" t="s">
        <v>220</v>
      </c>
      <c r="J19" s="5" t="s">
        <v>221</v>
      </c>
    </row>
    <row r="20" customFormat="false" ht="60" hidden="false" customHeight="true" outlineLevel="0" collapsed="false">
      <c r="A20" s="6" t="n">
        <v>18</v>
      </c>
      <c r="B20" s="7" t="s">
        <v>79</v>
      </c>
      <c r="C20" s="8" t="s">
        <v>222</v>
      </c>
      <c r="D20" s="8" t="s">
        <v>223</v>
      </c>
      <c r="E20" s="8" t="s">
        <v>224</v>
      </c>
      <c r="F20" s="8" t="s">
        <v>225</v>
      </c>
      <c r="G20" s="8" t="s">
        <v>226</v>
      </c>
      <c r="H20" s="8" t="s">
        <v>227</v>
      </c>
      <c r="I20" s="8" t="s">
        <v>228</v>
      </c>
      <c r="J20" s="8" t="s">
        <v>229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8"/>
    <col collapsed="false" customWidth="true" hidden="false" outlineLevel="0" max="6" min="6" style="0" width="22"/>
    <col collapsed="false" customWidth="true" hidden="false" outlineLevel="0" max="9" min="7" style="0" width="42"/>
    <col collapsed="false" customWidth="true" hidden="false" outlineLevel="0" max="10" min="10" style="0" width="18"/>
    <col collapsed="false" customWidth="true" hidden="false" outlineLevel="0" max="13" min="11" style="0" width="12"/>
    <col collapsed="false" customWidth="true" hidden="false" outlineLevel="0" max="14" min="14" style="0" width="8"/>
    <col collapsed="false" customWidth="true" hidden="false" outlineLevel="0" max="16" min="15" style="0" width="14"/>
  </cols>
  <sheetData>
    <row r="1" customFormat="false" ht="39.75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235</v>
      </c>
      <c r="G2" s="2" t="s">
        <v>236</v>
      </c>
      <c r="H2" s="2" t="s">
        <v>237</v>
      </c>
      <c r="I2" s="2" t="s">
        <v>238</v>
      </c>
      <c r="J2" s="2" t="s">
        <v>239</v>
      </c>
      <c r="K2" s="2" t="s">
        <v>240</v>
      </c>
      <c r="L2" s="2" t="s">
        <v>241</v>
      </c>
      <c r="M2" s="2" t="s">
        <v>242</v>
      </c>
      <c r="N2" s="2" t="s">
        <v>243</v>
      </c>
      <c r="O2" s="2" t="s">
        <v>244</v>
      </c>
      <c r="P2" s="2" t="s">
        <v>11</v>
      </c>
    </row>
    <row r="3" customFormat="false" ht="69.75" hidden="false" customHeight="true" outlineLevel="0" collapsed="false">
      <c r="A3" s="3" t="n">
        <v>1</v>
      </c>
      <c r="B3" s="4" t="s">
        <v>245</v>
      </c>
      <c r="C3" s="9" t="n">
        <v>2</v>
      </c>
      <c r="D3" s="9" t="n">
        <v>0.5</v>
      </c>
      <c r="E3" s="9" t="n">
        <v>2.5</v>
      </c>
      <c r="F3" s="5" t="s">
        <v>246</v>
      </c>
      <c r="G3" s="5" t="s">
        <v>247</v>
      </c>
      <c r="H3" s="5" t="s">
        <v>248</v>
      </c>
      <c r="I3" s="5" t="s">
        <v>249</v>
      </c>
      <c r="J3" s="5" t="s">
        <v>250</v>
      </c>
      <c r="K3" s="9" t="s">
        <v>251</v>
      </c>
      <c r="L3" s="9" t="s">
        <v>252</v>
      </c>
      <c r="M3" s="9" t="s">
        <v>253</v>
      </c>
      <c r="N3" s="9" t="n">
        <v>5</v>
      </c>
      <c r="O3" s="10" t="s">
        <v>254</v>
      </c>
      <c r="P3" s="11" t="s">
        <v>255</v>
      </c>
    </row>
    <row r="4" customFormat="false" ht="69.75" hidden="false" customHeight="true" outlineLevel="0" collapsed="false">
      <c r="A4" s="6" t="n">
        <v>2</v>
      </c>
      <c r="B4" s="7" t="s">
        <v>256</v>
      </c>
      <c r="C4" s="12" t="n">
        <v>1</v>
      </c>
      <c r="D4" s="12" t="n">
        <v>0.25</v>
      </c>
      <c r="E4" s="12" t="n">
        <v>1.25</v>
      </c>
      <c r="F4" s="8" t="s">
        <v>246</v>
      </c>
      <c r="G4" s="8" t="s">
        <v>257</v>
      </c>
      <c r="H4" s="8" t="s">
        <v>258</v>
      </c>
      <c r="I4" s="8" t="s">
        <v>259</v>
      </c>
      <c r="J4" s="8" t="s">
        <v>260</v>
      </c>
      <c r="K4" s="12" t="s">
        <v>251</v>
      </c>
      <c r="L4" s="12" t="s">
        <v>252</v>
      </c>
      <c r="M4" s="12" t="s">
        <v>261</v>
      </c>
      <c r="N4" s="12" t="n">
        <v>2</v>
      </c>
      <c r="O4" s="10" t="s">
        <v>254</v>
      </c>
      <c r="P4" s="11" t="s">
        <v>255</v>
      </c>
    </row>
    <row r="5" customFormat="false" ht="69.75" hidden="false" customHeight="true" outlineLevel="0" collapsed="false">
      <c r="A5" s="3" t="n">
        <v>3</v>
      </c>
      <c r="B5" s="4" t="s">
        <v>262</v>
      </c>
      <c r="C5" s="9" t="n">
        <v>3</v>
      </c>
      <c r="D5" s="9" t="n">
        <v>0.5</v>
      </c>
      <c r="E5" s="9" t="n">
        <v>3.5</v>
      </c>
      <c r="F5" s="5" t="s">
        <v>246</v>
      </c>
      <c r="G5" s="5" t="s">
        <v>263</v>
      </c>
      <c r="H5" s="5" t="s">
        <v>264</v>
      </c>
      <c r="I5" s="5" t="s">
        <v>265</v>
      </c>
      <c r="J5" s="5" t="s">
        <v>250</v>
      </c>
      <c r="K5" s="9" t="s">
        <v>266</v>
      </c>
      <c r="L5" s="9" t="s">
        <v>252</v>
      </c>
      <c r="M5" s="9" t="s">
        <v>267</v>
      </c>
      <c r="N5" s="9" t="n">
        <v>8</v>
      </c>
      <c r="O5" s="10" t="s">
        <v>254</v>
      </c>
      <c r="P5" s="11" t="s">
        <v>255</v>
      </c>
    </row>
    <row r="6" customFormat="false" ht="69.75" hidden="false" customHeight="true" outlineLevel="0" collapsed="false">
      <c r="A6" s="6" t="n">
        <v>4</v>
      </c>
      <c r="B6" s="7" t="s">
        <v>268</v>
      </c>
      <c r="C6" s="12" t="n">
        <v>1</v>
      </c>
      <c r="D6" s="12" t="n">
        <v>0.25</v>
      </c>
      <c r="E6" s="12" t="n">
        <v>1.25</v>
      </c>
      <c r="F6" s="8" t="s">
        <v>246</v>
      </c>
      <c r="G6" s="8" t="s">
        <v>269</v>
      </c>
      <c r="H6" s="8" t="s">
        <v>270</v>
      </c>
      <c r="I6" s="8" t="s">
        <v>271</v>
      </c>
      <c r="J6" s="8" t="s">
        <v>260</v>
      </c>
      <c r="K6" s="12" t="s">
        <v>251</v>
      </c>
      <c r="L6" s="12" t="s">
        <v>252</v>
      </c>
      <c r="M6" s="12" t="s">
        <v>272</v>
      </c>
      <c r="N6" s="12" t="n">
        <v>3</v>
      </c>
      <c r="O6" s="10" t="s">
        <v>254</v>
      </c>
      <c r="P6" s="11" t="s">
        <v>255</v>
      </c>
    </row>
    <row r="7" customFormat="false" ht="69.75" hidden="false" customHeight="true" outlineLevel="0" collapsed="false">
      <c r="A7" s="3" t="n">
        <v>5</v>
      </c>
      <c r="B7" s="4" t="s">
        <v>273</v>
      </c>
      <c r="C7" s="9" t="n">
        <v>1.5</v>
      </c>
      <c r="D7" s="9" t="n">
        <v>0.5</v>
      </c>
      <c r="E7" s="9" t="n">
        <v>2</v>
      </c>
      <c r="F7" s="5" t="s">
        <v>246</v>
      </c>
      <c r="G7" s="5" t="s">
        <v>274</v>
      </c>
      <c r="H7" s="5" t="s">
        <v>275</v>
      </c>
      <c r="I7" s="5" t="s">
        <v>276</v>
      </c>
      <c r="J7" s="5" t="s">
        <v>260</v>
      </c>
      <c r="K7" s="9" t="s">
        <v>251</v>
      </c>
      <c r="L7" s="9" t="s">
        <v>261</v>
      </c>
      <c r="M7" s="9" t="s">
        <v>253</v>
      </c>
      <c r="N7" s="9" t="n">
        <v>3</v>
      </c>
      <c r="O7" s="10" t="s">
        <v>254</v>
      </c>
      <c r="P7" s="11" t="s">
        <v>255</v>
      </c>
    </row>
    <row r="8" customFormat="false" ht="69.75" hidden="false" customHeight="true" outlineLevel="0" collapsed="false">
      <c r="A8" s="6" t="n">
        <v>6</v>
      </c>
      <c r="B8" s="7" t="s">
        <v>277</v>
      </c>
      <c r="C8" s="12" t="n">
        <v>1.5</v>
      </c>
      <c r="D8" s="12" t="n">
        <v>0.5</v>
      </c>
      <c r="E8" s="12" t="n">
        <v>2</v>
      </c>
      <c r="F8" s="8" t="s">
        <v>246</v>
      </c>
      <c r="G8" s="8" t="s">
        <v>278</v>
      </c>
      <c r="H8" s="8" t="s">
        <v>279</v>
      </c>
      <c r="I8" s="8" t="s">
        <v>280</v>
      </c>
      <c r="J8" s="8" t="s">
        <v>260</v>
      </c>
      <c r="K8" s="12" t="s">
        <v>281</v>
      </c>
      <c r="L8" s="12" t="s">
        <v>282</v>
      </c>
      <c r="M8" s="12" t="s">
        <v>283</v>
      </c>
      <c r="N8" s="12" t="n">
        <v>3</v>
      </c>
      <c r="O8" s="13" t="s">
        <v>284</v>
      </c>
      <c r="P8" s="11" t="s">
        <v>255</v>
      </c>
    </row>
    <row r="9" customFormat="false" ht="69.75" hidden="false" customHeight="true" outlineLevel="0" collapsed="false">
      <c r="A9" s="3" t="n">
        <v>7</v>
      </c>
      <c r="B9" s="4" t="s">
        <v>285</v>
      </c>
      <c r="C9" s="9" t="n">
        <v>1</v>
      </c>
      <c r="D9" s="9" t="n">
        <v>0.25</v>
      </c>
      <c r="E9" s="9" t="n">
        <v>1.25</v>
      </c>
      <c r="F9" s="5" t="s">
        <v>246</v>
      </c>
      <c r="G9" s="5" t="s">
        <v>286</v>
      </c>
      <c r="H9" s="5" t="s">
        <v>287</v>
      </c>
      <c r="I9" s="5" t="s">
        <v>288</v>
      </c>
      <c r="J9" s="5" t="s">
        <v>289</v>
      </c>
      <c r="K9" s="9" t="s">
        <v>281</v>
      </c>
      <c r="L9" s="9" t="s">
        <v>282</v>
      </c>
      <c r="M9" s="9" t="s">
        <v>290</v>
      </c>
      <c r="N9" s="9" t="n">
        <v>2</v>
      </c>
      <c r="O9" s="10" t="s">
        <v>254</v>
      </c>
      <c r="P9" s="11" t="s">
        <v>255</v>
      </c>
    </row>
    <row r="10" customFormat="false" ht="69.75" hidden="false" customHeight="true" outlineLevel="0" collapsed="false">
      <c r="A10" s="6" t="n">
        <v>8</v>
      </c>
      <c r="B10" s="7" t="s">
        <v>291</v>
      </c>
      <c r="C10" s="12" t="n">
        <v>2</v>
      </c>
      <c r="D10" s="12" t="n">
        <v>0.5</v>
      </c>
      <c r="E10" s="12" t="n">
        <v>2.5</v>
      </c>
      <c r="F10" s="8" t="s">
        <v>246</v>
      </c>
      <c r="G10" s="8" t="s">
        <v>292</v>
      </c>
      <c r="H10" s="8" t="s">
        <v>293</v>
      </c>
      <c r="I10" s="8" t="s">
        <v>294</v>
      </c>
      <c r="J10" s="8" t="s">
        <v>289</v>
      </c>
      <c r="K10" s="12" t="s">
        <v>281</v>
      </c>
      <c r="L10" s="12" t="s">
        <v>290</v>
      </c>
      <c r="M10" s="12" t="s">
        <v>267</v>
      </c>
      <c r="N10" s="12" t="n">
        <v>4</v>
      </c>
      <c r="O10" s="10" t="s">
        <v>254</v>
      </c>
      <c r="P10" s="11" t="s">
        <v>255</v>
      </c>
    </row>
    <row r="11" customFormat="false" ht="69.75" hidden="false" customHeight="true" outlineLevel="0" collapsed="false">
      <c r="A11" s="3" t="n">
        <v>9</v>
      </c>
      <c r="B11" s="4" t="s">
        <v>295</v>
      </c>
      <c r="C11" s="9" t="n">
        <v>1.5</v>
      </c>
      <c r="D11" s="9" t="n">
        <v>0.5</v>
      </c>
      <c r="E11" s="9" t="n">
        <v>2</v>
      </c>
      <c r="F11" s="5" t="s">
        <v>80</v>
      </c>
      <c r="G11" s="5" t="s">
        <v>296</v>
      </c>
      <c r="H11" s="5" t="s">
        <v>297</v>
      </c>
      <c r="I11" s="5" t="s">
        <v>298</v>
      </c>
      <c r="J11" s="5" t="s">
        <v>289</v>
      </c>
      <c r="K11" s="9" t="s">
        <v>299</v>
      </c>
      <c r="L11" s="9" t="s">
        <v>300</v>
      </c>
      <c r="M11" s="9" t="s">
        <v>301</v>
      </c>
      <c r="N11" s="9" t="n">
        <v>3</v>
      </c>
      <c r="O11" s="10" t="s">
        <v>254</v>
      </c>
      <c r="P11" s="11" t="s">
        <v>255</v>
      </c>
    </row>
    <row r="12" customFormat="false" ht="69.75" hidden="false" customHeight="true" outlineLevel="0" collapsed="false">
      <c r="A12" s="6" t="n">
        <v>10</v>
      </c>
      <c r="B12" s="7" t="s">
        <v>302</v>
      </c>
      <c r="C12" s="12" t="n">
        <v>1</v>
      </c>
      <c r="D12" s="12" t="n">
        <v>0.25</v>
      </c>
      <c r="E12" s="12" t="n">
        <v>1.25</v>
      </c>
      <c r="F12" s="8" t="s">
        <v>303</v>
      </c>
      <c r="G12" s="8" t="s">
        <v>304</v>
      </c>
      <c r="H12" s="8" t="s">
        <v>305</v>
      </c>
      <c r="I12" s="8" t="s">
        <v>306</v>
      </c>
      <c r="J12" s="8" t="s">
        <v>289</v>
      </c>
      <c r="K12" s="12" t="s">
        <v>251</v>
      </c>
      <c r="L12" s="12" t="s">
        <v>252</v>
      </c>
      <c r="M12" s="12" t="s">
        <v>261</v>
      </c>
      <c r="N12" s="12" t="n">
        <v>2</v>
      </c>
      <c r="O12" s="10" t="s">
        <v>254</v>
      </c>
      <c r="P12" s="11" t="s">
        <v>255</v>
      </c>
    </row>
    <row r="13" customFormat="false" ht="69.75" hidden="false" customHeight="true" outlineLevel="0" collapsed="false">
      <c r="A13" s="3" t="n">
        <v>11</v>
      </c>
      <c r="B13" s="4" t="s">
        <v>307</v>
      </c>
      <c r="C13" s="9" t="n">
        <v>2</v>
      </c>
      <c r="D13" s="9" t="n">
        <v>0.25</v>
      </c>
      <c r="E13" s="9" t="n">
        <v>2.25</v>
      </c>
      <c r="F13" s="5" t="s">
        <v>13</v>
      </c>
      <c r="G13" s="5" t="s">
        <v>308</v>
      </c>
      <c r="H13" s="5" t="s">
        <v>309</v>
      </c>
      <c r="I13" s="5" t="s">
        <v>310</v>
      </c>
      <c r="J13" s="5" t="s">
        <v>311</v>
      </c>
      <c r="K13" s="9" t="s">
        <v>281</v>
      </c>
      <c r="L13" s="9" t="s">
        <v>282</v>
      </c>
      <c r="M13" s="9" t="s">
        <v>267</v>
      </c>
      <c r="N13" s="9" t="n">
        <v>4</v>
      </c>
      <c r="O13" s="13" t="s">
        <v>284</v>
      </c>
      <c r="P13" s="11" t="s">
        <v>255</v>
      </c>
    </row>
    <row r="14" customFormat="false" ht="69.75" hidden="false" customHeight="true" outlineLevel="0" collapsed="false">
      <c r="A14" s="6" t="n">
        <v>12</v>
      </c>
      <c r="B14" s="7" t="s">
        <v>312</v>
      </c>
      <c r="C14" s="12" t="n">
        <v>1.5</v>
      </c>
      <c r="D14" s="12" t="n">
        <v>0.5</v>
      </c>
      <c r="E14" s="12" t="n">
        <v>2</v>
      </c>
      <c r="F14" s="8" t="s">
        <v>80</v>
      </c>
      <c r="G14" s="8" t="s">
        <v>313</v>
      </c>
      <c r="H14" s="8" t="s">
        <v>314</v>
      </c>
      <c r="I14" s="8" t="s">
        <v>315</v>
      </c>
      <c r="J14" s="8" t="s">
        <v>250</v>
      </c>
      <c r="K14" s="12" t="s">
        <v>299</v>
      </c>
      <c r="L14" s="12" t="s">
        <v>300</v>
      </c>
      <c r="M14" s="12" t="s">
        <v>301</v>
      </c>
      <c r="N14" s="12" t="n">
        <v>4</v>
      </c>
      <c r="O14" s="10" t="s">
        <v>254</v>
      </c>
      <c r="P14" s="11" t="s">
        <v>255</v>
      </c>
    </row>
    <row r="15" customFormat="false" ht="69.75" hidden="false" customHeight="true" outlineLevel="0" collapsed="false">
      <c r="A15" s="3" t="n">
        <v>13</v>
      </c>
      <c r="B15" s="4" t="s">
        <v>316</v>
      </c>
      <c r="C15" s="9" t="n">
        <v>2</v>
      </c>
      <c r="D15" s="9" t="n">
        <v>0.5</v>
      </c>
      <c r="E15" s="9" t="n">
        <v>2.5</v>
      </c>
      <c r="F15" s="5" t="s">
        <v>317</v>
      </c>
      <c r="G15" s="5" t="s">
        <v>318</v>
      </c>
      <c r="H15" s="5" t="s">
        <v>319</v>
      </c>
      <c r="I15" s="5" t="s">
        <v>320</v>
      </c>
      <c r="J15" s="5" t="s">
        <v>321</v>
      </c>
      <c r="K15" s="9" t="s">
        <v>322</v>
      </c>
      <c r="L15" s="9" t="s">
        <v>323</v>
      </c>
      <c r="M15" s="9" t="s">
        <v>324</v>
      </c>
      <c r="N15" s="9" t="n">
        <v>4</v>
      </c>
      <c r="O15" s="13" t="s">
        <v>284</v>
      </c>
      <c r="P15" s="11" t="s">
        <v>255</v>
      </c>
    </row>
    <row r="16" customFormat="false" ht="69.75" hidden="false" customHeight="true" outlineLevel="0" collapsed="false">
      <c r="A16" s="6" t="n">
        <v>14</v>
      </c>
      <c r="B16" s="7" t="s">
        <v>325</v>
      </c>
      <c r="C16" s="12" t="n">
        <v>2</v>
      </c>
      <c r="D16" s="12" t="n">
        <v>0.5</v>
      </c>
      <c r="E16" s="12" t="n">
        <v>2.5</v>
      </c>
      <c r="F16" s="8" t="s">
        <v>326</v>
      </c>
      <c r="G16" s="8" t="s">
        <v>327</v>
      </c>
      <c r="H16" s="8" t="s">
        <v>328</v>
      </c>
      <c r="I16" s="8" t="s">
        <v>329</v>
      </c>
      <c r="J16" s="8" t="s">
        <v>330</v>
      </c>
      <c r="K16" s="12" t="s">
        <v>331</v>
      </c>
      <c r="L16" s="12" t="s">
        <v>332</v>
      </c>
      <c r="M16" s="12" t="s">
        <v>333</v>
      </c>
      <c r="N16" s="12" t="n">
        <v>5</v>
      </c>
      <c r="O16" s="10" t="s">
        <v>254</v>
      </c>
      <c r="P16" s="11" t="s">
        <v>255</v>
      </c>
    </row>
    <row r="17" customFormat="false" ht="21.75" hidden="false" customHeight="true" outlineLevel="0" collapsed="false">
      <c r="A17" s="14" t="s">
        <v>334</v>
      </c>
      <c r="B17" s="14" t="s">
        <v>335</v>
      </c>
      <c r="C17" s="15" t="n">
        <f aca="false">SUM(C3:C16)</f>
        <v>23</v>
      </c>
      <c r="D17" s="15" t="n">
        <f aca="false">SUM(D3:D16)</f>
        <v>5.75</v>
      </c>
      <c r="E17" s="15" t="n">
        <f aca="false">SUM(E3:E16)</f>
        <v>28.75</v>
      </c>
      <c r="F17" s="16"/>
      <c r="G17" s="16"/>
      <c r="H17" s="16"/>
      <c r="I17" s="16"/>
      <c r="J17" s="16"/>
      <c r="K17" s="16"/>
      <c r="L17" s="16"/>
      <c r="M17" s="16"/>
      <c r="N17" s="15" t="n">
        <f aca="false">SUM(N3:N16)</f>
        <v>52</v>
      </c>
      <c r="O17" s="16"/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45" hidden="false" customHeight="true" outlineLevel="0" collapsed="false">
      <c r="A1" s="17" t="s">
        <v>336</v>
      </c>
      <c r="B1" s="17"/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A2" s="18" t="s">
        <v>337</v>
      </c>
      <c r="B2" s="18" t="s">
        <v>338</v>
      </c>
      <c r="C2" s="18" t="s">
        <v>339</v>
      </c>
      <c r="D2" s="18" t="s">
        <v>340</v>
      </c>
      <c r="E2" s="18" t="s">
        <v>341</v>
      </c>
      <c r="F2" s="18" t="s">
        <v>342</v>
      </c>
      <c r="G2" s="18" t="s">
        <v>343</v>
      </c>
      <c r="H2" s="18" t="s">
        <v>344</v>
      </c>
    </row>
    <row r="3" customFormat="false" ht="37.5" hidden="false" customHeight="true" outlineLevel="0" collapsed="false">
      <c r="A3" s="19" t="n">
        <v>14</v>
      </c>
      <c r="B3" s="19" t="n">
        <f aca="false">SUM('Phase 1 – Sprint Planning'!C3:C16)</f>
        <v>23</v>
      </c>
      <c r="C3" s="19" t="n">
        <f aca="false">SUM('Phase 1 – Sprint Planning'!D3:D16)</f>
        <v>5.75</v>
      </c>
      <c r="D3" s="19" t="n">
        <f aca="false">SUM('Phase 1 – Sprint Planning'!E3:E16)</f>
        <v>28.75</v>
      </c>
      <c r="E3" s="19" t="n">
        <v>9</v>
      </c>
      <c r="F3" s="19" t="n">
        <v>4</v>
      </c>
      <c r="G3" s="19" t="n">
        <v>5</v>
      </c>
      <c r="H3" s="19" t="s">
        <v>333</v>
      </c>
    </row>
    <row r="4" customFormat="false" ht="18" hidden="false" customHeight="true" outlineLevel="0" collapsed="false"/>
    <row r="6" customFormat="false" ht="21.75" hidden="false" customHeight="true" outlineLevel="0" collapsed="false">
      <c r="A6" s="20" t="s">
        <v>345</v>
      </c>
      <c r="B6" s="20"/>
      <c r="C6" s="20"/>
      <c r="D6" s="20"/>
      <c r="E6" s="20"/>
      <c r="F6" s="20"/>
      <c r="G6" s="20"/>
      <c r="H6" s="20"/>
    </row>
    <row r="7" customFormat="false" ht="18" hidden="false" customHeight="true" outlineLevel="0" collapsed="false">
      <c r="A7" s="2" t="s">
        <v>346</v>
      </c>
      <c r="B7" s="2" t="s">
        <v>347</v>
      </c>
      <c r="C7" s="2" t="s">
        <v>348</v>
      </c>
      <c r="D7" s="2" t="s">
        <v>349</v>
      </c>
      <c r="E7" s="2" t="s">
        <v>350</v>
      </c>
      <c r="F7" s="2" t="s">
        <v>351</v>
      </c>
      <c r="G7" s="2" t="s">
        <v>352</v>
      </c>
      <c r="H7" s="2" t="s">
        <v>11</v>
      </c>
    </row>
    <row r="8" customFormat="false" ht="27.75" hidden="false" customHeight="true" outlineLevel="0" collapsed="false">
      <c r="A8" s="12" t="s">
        <v>353</v>
      </c>
      <c r="B8" s="12" t="s">
        <v>251</v>
      </c>
      <c r="C8" s="12" t="s">
        <v>252</v>
      </c>
      <c r="D8" s="12" t="s">
        <v>253</v>
      </c>
      <c r="E8" s="8" t="s">
        <v>354</v>
      </c>
      <c r="F8" s="12" t="s">
        <v>355</v>
      </c>
      <c r="G8" s="8" t="s">
        <v>356</v>
      </c>
      <c r="H8" s="12" t="s">
        <v>255</v>
      </c>
    </row>
    <row r="9" customFormat="false" ht="27.75" hidden="false" customHeight="true" outlineLevel="0" collapsed="false">
      <c r="A9" s="9" t="s">
        <v>357</v>
      </c>
      <c r="B9" s="9" t="s">
        <v>281</v>
      </c>
      <c r="C9" s="9" t="s">
        <v>282</v>
      </c>
      <c r="D9" s="9" t="s">
        <v>267</v>
      </c>
      <c r="E9" s="5" t="s">
        <v>358</v>
      </c>
      <c r="F9" s="9" t="s">
        <v>359</v>
      </c>
      <c r="G9" s="5" t="s">
        <v>360</v>
      </c>
      <c r="H9" s="9" t="s">
        <v>255</v>
      </c>
    </row>
    <row r="10" customFormat="false" ht="27.75" hidden="false" customHeight="true" outlineLevel="0" collapsed="false">
      <c r="A10" s="12" t="s">
        <v>361</v>
      </c>
      <c r="B10" s="12" t="s">
        <v>299</v>
      </c>
      <c r="C10" s="12" t="s">
        <v>300</v>
      </c>
      <c r="D10" s="12" t="s">
        <v>362</v>
      </c>
      <c r="E10" s="8" t="s">
        <v>363</v>
      </c>
      <c r="F10" s="12" t="s">
        <v>364</v>
      </c>
      <c r="G10" s="8" t="s">
        <v>356</v>
      </c>
      <c r="H10" s="12" t="s">
        <v>255</v>
      </c>
    </row>
    <row r="11" customFormat="false" ht="27.75" hidden="false" customHeight="true" outlineLevel="0" collapsed="false">
      <c r="A11" s="9" t="s">
        <v>365</v>
      </c>
      <c r="B11" s="9" t="s">
        <v>322</v>
      </c>
      <c r="C11" s="9" t="s">
        <v>323</v>
      </c>
      <c r="D11" s="9" t="s">
        <v>324</v>
      </c>
      <c r="E11" s="5" t="s">
        <v>366</v>
      </c>
      <c r="F11" s="9" t="s">
        <v>367</v>
      </c>
      <c r="G11" s="5" t="s">
        <v>368</v>
      </c>
      <c r="H11" s="9" t="s">
        <v>255</v>
      </c>
    </row>
    <row r="12" customFormat="false" ht="27.75" hidden="false" customHeight="true" outlineLevel="0" collapsed="false">
      <c r="A12" s="12" t="s">
        <v>369</v>
      </c>
      <c r="B12" s="12" t="s">
        <v>331</v>
      </c>
      <c r="C12" s="12" t="s">
        <v>332</v>
      </c>
      <c r="D12" s="12" t="s">
        <v>333</v>
      </c>
      <c r="E12" s="8" t="s">
        <v>370</v>
      </c>
      <c r="F12" s="12" t="s">
        <v>371</v>
      </c>
      <c r="G12" s="8" t="s">
        <v>330</v>
      </c>
      <c r="H12" s="12" t="s">
        <v>255</v>
      </c>
    </row>
    <row r="15" customFormat="false" ht="21.75" hidden="false" customHeight="true" outlineLevel="0" collapsed="false">
      <c r="A15" s="20" t="s">
        <v>372</v>
      </c>
      <c r="B15" s="20"/>
      <c r="C15" s="20"/>
      <c r="D15" s="20"/>
      <c r="E15" s="20"/>
      <c r="F15" s="20"/>
      <c r="G15" s="20"/>
      <c r="H15" s="20"/>
    </row>
    <row r="16" customFormat="false" ht="18" hidden="false" customHeight="true" outlineLevel="0" collapsed="false">
      <c r="A16" s="2" t="s">
        <v>2</v>
      </c>
      <c r="B16" s="2" t="s">
        <v>3</v>
      </c>
      <c r="C16" s="2" t="s">
        <v>373</v>
      </c>
      <c r="D16" s="2" t="s">
        <v>10</v>
      </c>
      <c r="E16" s="2" t="s">
        <v>9</v>
      </c>
      <c r="F16" s="2" t="s">
        <v>374</v>
      </c>
    </row>
    <row r="17" customFormat="false" ht="21.75" hidden="false" customHeight="true" outlineLevel="0" collapsed="false">
      <c r="A17" s="5" t="s">
        <v>12</v>
      </c>
      <c r="B17" s="5" t="s">
        <v>13</v>
      </c>
      <c r="C17" s="5" t="s">
        <v>375</v>
      </c>
      <c r="D17" s="9" t="s">
        <v>20</v>
      </c>
      <c r="E17" s="9" t="s">
        <v>376</v>
      </c>
      <c r="F17" s="5" t="s">
        <v>377</v>
      </c>
    </row>
    <row r="18" customFormat="false" ht="21.75" hidden="false" customHeight="true" outlineLevel="0" collapsed="false">
      <c r="A18" s="8" t="s">
        <v>22</v>
      </c>
      <c r="B18" s="8" t="s">
        <v>378</v>
      </c>
      <c r="C18" s="8" t="s">
        <v>379</v>
      </c>
      <c r="D18" s="12" t="s">
        <v>20</v>
      </c>
      <c r="E18" s="12" t="s">
        <v>29</v>
      </c>
      <c r="F18" s="8" t="s">
        <v>380</v>
      </c>
    </row>
    <row r="19" customFormat="false" ht="21.75" hidden="false" customHeight="true" outlineLevel="0" collapsed="false">
      <c r="A19" s="5" t="s">
        <v>30</v>
      </c>
      <c r="B19" s="5" t="s">
        <v>381</v>
      </c>
      <c r="C19" s="5" t="s">
        <v>382</v>
      </c>
      <c r="D19" s="9" t="s">
        <v>20</v>
      </c>
      <c r="E19" s="9" t="s">
        <v>29</v>
      </c>
      <c r="F19" s="5" t="s">
        <v>383</v>
      </c>
    </row>
    <row r="20" customFormat="false" ht="21.75" hidden="false" customHeight="true" outlineLevel="0" collapsed="false">
      <c r="A20" s="8" t="s">
        <v>37</v>
      </c>
      <c r="B20" s="8" t="s">
        <v>384</v>
      </c>
      <c r="C20" s="8" t="s">
        <v>385</v>
      </c>
      <c r="D20" s="12" t="s">
        <v>20</v>
      </c>
      <c r="E20" s="12" t="s">
        <v>386</v>
      </c>
      <c r="F20" s="8" t="s">
        <v>387</v>
      </c>
    </row>
    <row r="21" customFormat="false" ht="21.75" hidden="false" customHeight="true" outlineLevel="0" collapsed="false">
      <c r="A21" s="5" t="s">
        <v>45</v>
      </c>
      <c r="B21" s="5" t="s">
        <v>388</v>
      </c>
      <c r="C21" s="5" t="s">
        <v>389</v>
      </c>
      <c r="D21" s="9" t="s">
        <v>20</v>
      </c>
      <c r="E21" s="9" t="s">
        <v>386</v>
      </c>
      <c r="F21" s="5" t="s">
        <v>390</v>
      </c>
    </row>
    <row r="22" customFormat="false" ht="21.75" hidden="false" customHeight="true" outlineLevel="0" collapsed="false">
      <c r="A22" s="8" t="s">
        <v>391</v>
      </c>
      <c r="B22" s="8" t="s">
        <v>392</v>
      </c>
      <c r="C22" s="8" t="s">
        <v>393</v>
      </c>
      <c r="D22" s="12" t="s">
        <v>20</v>
      </c>
      <c r="E22" s="12" t="s">
        <v>29</v>
      </c>
      <c r="F22" s="8" t="s">
        <v>394</v>
      </c>
    </row>
    <row r="23" customFormat="false" ht="21.75" hidden="false" customHeight="true" outlineLevel="0" collapsed="false">
      <c r="A23" s="5" t="s">
        <v>395</v>
      </c>
      <c r="B23" s="5" t="s">
        <v>392</v>
      </c>
      <c r="C23" s="5" t="s">
        <v>63</v>
      </c>
      <c r="D23" s="9" t="s">
        <v>20</v>
      </c>
      <c r="E23" s="9" t="s">
        <v>29</v>
      </c>
      <c r="F23" s="5" t="s">
        <v>396</v>
      </c>
    </row>
    <row r="24" customFormat="false" ht="21.75" hidden="false" customHeight="true" outlineLevel="0" collapsed="false">
      <c r="A24" s="8" t="s">
        <v>65</v>
      </c>
      <c r="B24" s="8" t="s">
        <v>397</v>
      </c>
      <c r="C24" s="8" t="s">
        <v>398</v>
      </c>
      <c r="D24" s="12" t="s">
        <v>20</v>
      </c>
      <c r="E24" s="12" t="s">
        <v>29</v>
      </c>
      <c r="F24" s="8" t="s">
        <v>399</v>
      </c>
    </row>
    <row r="25" customFormat="false" ht="21.75" hidden="false" customHeight="true" outlineLevel="0" collapsed="false">
      <c r="A25" s="5" t="s">
        <v>400</v>
      </c>
      <c r="B25" s="5" t="s">
        <v>401</v>
      </c>
      <c r="C25" s="5" t="s">
        <v>402</v>
      </c>
      <c r="D25" s="9" t="s">
        <v>20</v>
      </c>
      <c r="E25" s="9" t="s">
        <v>29</v>
      </c>
      <c r="F25" s="5" t="s">
        <v>403</v>
      </c>
    </row>
    <row r="26" customFormat="false" ht="21.75" hidden="false" customHeight="true" outlineLevel="0" collapsed="false">
      <c r="A26" s="8" t="s">
        <v>79</v>
      </c>
      <c r="B26" s="8" t="s">
        <v>80</v>
      </c>
      <c r="C26" s="8" t="s">
        <v>404</v>
      </c>
      <c r="D26" s="12" t="s">
        <v>20</v>
      </c>
      <c r="E26" s="12" t="s">
        <v>29</v>
      </c>
      <c r="F26" s="8" t="s">
        <v>405</v>
      </c>
    </row>
  </sheetData>
  <mergeCells count="3">
    <mergeCell ref="A1:H1"/>
    <mergeCell ref="A6:H6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2026-03-30T08:27:07Z</dcterms:created>
  <dc:creator>openpyxl</dc:creator>
  <dc:description/>
  <dc:language>en-US</dc:language>
  <cp:lastModifiedBy/>
  <dcterms:modified xsi:type="dcterms:W3CDTF">2026-03-30T08:27:07Z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